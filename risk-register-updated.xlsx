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APS\Documents\"/>
    </mc:Choice>
  </mc:AlternateContent>
  <xr:revisionPtr revIDLastSave="0" documentId="8_{51FDB7ED-F334-4676-9450-37EB8CDE11EC}" xr6:coauthVersionLast="47" xr6:coauthVersionMax="47" xr10:uidLastSave="{00000000-0000-0000-0000-000000000000}"/>
  <bookViews>
    <workbookView xWindow="-110" yWindow="-110" windowWidth="19420" windowHeight="10300" xr2:uid="{00000000-000D-0000-FFFF-FFFF00000000}"/>
  </bookViews>
  <sheets>
    <sheet name="Project Template" sheetId="1" r:id="rId1"/>
    <sheet name="Instructions" sheetId="2" r:id="rId2"/>
    <sheet name="Opportunity - Rating Desc." sheetId="3" r:id="rId3"/>
    <sheet name="Threat - Rating Desc." sheetId="4" r:id="rId4"/>
    <sheet name="Severity matrix" sheetId="5" r:id="rId5"/>
    <sheet name="Sample Risk Checklist" sheetId="6" r:id="rId6"/>
    <sheet name="Risk Allocation" sheetId="7" state="hidden" r:id="rId7"/>
    <sheet name="Lists" sheetId="8" r:id="rId8"/>
  </sheets>
  <definedNames>
    <definedName name="_xlnm._FilterDatabase" localSheetId="0" hidden="1">'Project Template'!$A$3:$AB$43</definedName>
    <definedName name="_xlnm._FilterDatabase" localSheetId="5" hidden="1">'Sample Risk Checklist'!$A$1:$B$86</definedName>
    <definedName name="Construction">Lists!$I$3:$I$9</definedName>
    <definedName name="Design">Lists!$D$3:$D$14</definedName>
    <definedName name="Design_construction">Lists!$L$29:$N$29</definedName>
    <definedName name="Environmental">Lists!$C$3:$C$5</definedName>
    <definedName name="External">Lists!$H$3:$H$10</definedName>
    <definedName name="Maint_Ops">Lists!$J$3:$J$9</definedName>
    <definedName name="Operations_Maintenance">Lists!$O$29</definedName>
    <definedName name="Organizational">Lists!$B$3:$B$7</definedName>
    <definedName name="Planning_Preliminary_Eng">Lists!$B$29:$E$29</definedName>
    <definedName name="PM">Lists!$A$3:$A$7</definedName>
    <definedName name="program_procurement">Lists!$F$29:$K$29</definedName>
    <definedName name="Proj_Phase_List">Lists!$A$18:$A$21</definedName>
    <definedName name="Proj_Phases">Lists!$H$17:$H$21</definedName>
    <definedName name="Railroad">Lists!$F$3:$F$5</definedName>
    <definedName name="ROW">Lists!$E$3:$E$6</definedName>
    <definedName name="Utilities">Lists!$G$3:$G$5</definedName>
    <definedName name="Z_426594F0_BD78_494B_83F5_6715BCF3F934_.wvu.Cols" localSheetId="7">Lists!$V:$W</definedName>
    <definedName name="Z_426594F0_BD78_494B_83F5_6715BCF3F934_.wvu.PrintArea" localSheetId="2">'Opportunity - Rating Desc.'!$A$1:$F$21</definedName>
    <definedName name="Z_426594F0_BD78_494B_83F5_6715BCF3F934_.wvu.PrintArea" localSheetId="5">'Sample Risk Checklist'!$A$1:$B$86</definedName>
    <definedName name="Z_426594F0_BD78_494B_83F5_6715BCF3F934_.wvu.PrintArea" localSheetId="4">'Severity matrix'!$A$2:$G$8</definedName>
    <definedName name="Z_426594F0_BD78_494B_83F5_6715BCF3F934_.wvu.PrintArea" localSheetId="3">'Threat - Rating Desc.'!$A$1:$F$22</definedName>
    <definedName name="Z_426594F0_BD78_494B_83F5_6715BCF3F934_.wvu.PrintTitles" localSheetId="5">'Sample Risk Checklist'!$1:$1</definedName>
    <definedName name="Z_77D097FC_158D_4673_ABF3_52B9469886B2_.wvu.FilterData" localSheetId="0" hidden="1">'Project Template'!$A$2:$AD$43</definedName>
    <definedName name="Z_77D097FC_158D_4673_ABF3_52B9469886B2_.wvu.FilterData" localSheetId="5" hidden="1">'Sample Risk Checklist'!$A$1:$B$88</definedName>
    <definedName name="Z_AAE5F1F5_23DF_4A1C_A14D_1A683FBAD0A0_.wvu.Cols" localSheetId="7">Lists!$V:$W</definedName>
    <definedName name="Z_AAE5F1F5_23DF_4A1C_A14D_1A683FBAD0A0_.wvu.PrintArea" localSheetId="2">'Opportunity - Rating Desc.'!$A$1:$F$21</definedName>
    <definedName name="Z_AAE5F1F5_23DF_4A1C_A14D_1A683FBAD0A0_.wvu.PrintArea" localSheetId="5">'Sample Risk Checklist'!$A$1:$B$86</definedName>
    <definedName name="Z_AAE5F1F5_23DF_4A1C_A14D_1A683FBAD0A0_.wvu.PrintArea" localSheetId="4">'Severity matrix'!$A$2:$G$8</definedName>
    <definedName name="Z_AAE5F1F5_23DF_4A1C_A14D_1A683FBAD0A0_.wvu.PrintArea" localSheetId="3">'Threat - Rating Desc.'!$A$1:$F$22</definedName>
    <definedName name="Z_AAE5F1F5_23DF_4A1C_A14D_1A683FBAD0A0_.wvu.PrintTitles" localSheetId="5">'Sample Risk Checklist'!$1:$1</definedName>
    <definedName name="Z_D6288B94_ADAB_45D6_891B_07CA7DFD6D18_.wvu.FilterData" localSheetId="0" hidden="1">'Project Template'!$A$2:$AD$43</definedName>
    <definedName name="Z_D6288B94_ADAB_45D6_891B_07CA7DFD6D18_.wvu.FilterData" localSheetId="5" hidden="1">'Sample Risk Checklist'!$A$1:$B$88</definedName>
  </definedNames>
  <calcPr calcId="191029"/>
  <customWorkbookViews>
    <customWorkbookView name="Condensed Register" guid="{D6288B94-ADAB-45D6-891B-07CA7DFD6D18}" maximized="1" windowWidth="0" windowHeight="0" activeSheetId="0"/>
    <customWorkbookView name="Full Register" guid="{77D097FC-158D-4673-ABF3-52B9469886B2}"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5" l="1"/>
  <c r="F6" i="5"/>
  <c r="E6" i="5"/>
  <c r="D6" i="5"/>
  <c r="C6" i="5"/>
  <c r="G5" i="5"/>
  <c r="F5" i="5"/>
  <c r="E5" i="5"/>
  <c r="D5" i="5"/>
  <c r="C5" i="5"/>
  <c r="G4" i="5"/>
  <c r="F4" i="5"/>
  <c r="E4" i="5"/>
  <c r="D4" i="5"/>
  <c r="C4" i="5"/>
  <c r="G3" i="5"/>
  <c r="F3" i="5"/>
  <c r="E3" i="5"/>
  <c r="D3" i="5"/>
  <c r="C3" i="5"/>
  <c r="G2" i="5"/>
  <c r="F2" i="5"/>
  <c r="E2" i="5"/>
  <c r="D2" i="5"/>
  <c r="C2" i="5"/>
  <c r="G28" i="4"/>
  <c r="F20" i="4"/>
  <c r="E20" i="4"/>
  <c r="D20" i="4"/>
  <c r="C20" i="4"/>
  <c r="B20" i="4"/>
  <c r="G28" i="3"/>
  <c r="F20" i="3"/>
  <c r="E20" i="3"/>
  <c r="D20" i="3"/>
  <c r="C20" i="3"/>
  <c r="B20" i="3"/>
  <c r="T43" i="1"/>
  <c r="P43" i="1"/>
  <c r="T42" i="1"/>
  <c r="P42" i="1"/>
  <c r="T41" i="1"/>
  <c r="P41" i="1"/>
  <c r="K41" i="1"/>
  <c r="T40" i="1"/>
  <c r="P40" i="1"/>
  <c r="K40" i="1"/>
  <c r="T39" i="1"/>
  <c r="P39" i="1"/>
  <c r="K39" i="1"/>
  <c r="T38" i="1"/>
  <c r="P38" i="1"/>
  <c r="T37" i="1"/>
  <c r="P37" i="1"/>
  <c r="T36" i="1"/>
  <c r="P36" i="1"/>
  <c r="T35" i="1"/>
  <c r="P35" i="1"/>
  <c r="T34" i="1"/>
  <c r="P34" i="1"/>
  <c r="T33" i="1"/>
  <c r="P33" i="1"/>
  <c r="T32" i="1"/>
  <c r="P32" i="1"/>
  <c r="T31" i="1"/>
  <c r="P31" i="1"/>
  <c r="T30" i="1"/>
  <c r="P30" i="1"/>
  <c r="T29" i="1"/>
  <c r="P29" i="1"/>
  <c r="T28" i="1"/>
  <c r="P28" i="1"/>
  <c r="T27" i="1"/>
  <c r="P27" i="1"/>
  <c r="T26" i="1"/>
  <c r="P26" i="1"/>
  <c r="T25" i="1"/>
  <c r="P25" i="1"/>
  <c r="T24" i="1"/>
  <c r="P24" i="1"/>
  <c r="T23" i="1"/>
  <c r="P23" i="1"/>
  <c r="T22" i="1"/>
  <c r="P22" i="1"/>
  <c r="T21" i="1"/>
  <c r="P21" i="1"/>
  <c r="T20" i="1"/>
  <c r="P20" i="1"/>
  <c r="K20" i="1"/>
  <c r="T19" i="1"/>
  <c r="P19" i="1"/>
  <c r="K19" i="1"/>
  <c r="T18" i="1"/>
  <c r="P18" i="1" a="1"/>
  <c r="K18" i="1"/>
  <c r="T17" i="1"/>
  <c r="P17" i="1"/>
  <c r="K17" i="1"/>
  <c r="T16" i="1"/>
  <c r="P16" i="1"/>
  <c r="K16" i="1"/>
  <c r="T15" i="1"/>
  <c r="P15" i="1"/>
  <c r="K15" i="1"/>
  <c r="T14" i="1"/>
  <c r="P14" i="1"/>
  <c r="K14" i="1"/>
  <c r="T13" i="1"/>
  <c r="P13" i="1"/>
  <c r="K13" i="1"/>
  <c r="T12" i="1"/>
  <c r="P12" i="1"/>
  <c r="K12" i="1"/>
  <c r="T11" i="1"/>
  <c r="P11" i="1"/>
  <c r="K11" i="1"/>
  <c r="T10" i="1"/>
  <c r="P10" i="1"/>
  <c r="K10" i="1"/>
  <c r="T9" i="1"/>
  <c r="P9" i="1"/>
  <c r="K9" i="1"/>
  <c r="T8" i="1"/>
  <c r="P8" i="1"/>
  <c r="K8" i="1"/>
  <c r="T7" i="1"/>
  <c r="P7" i="1"/>
  <c r="K7" i="1"/>
  <c r="T6" i="1"/>
  <c r="P6" i="1"/>
  <c r="K6" i="1"/>
  <c r="T5" i="1"/>
  <c r="P5" i="1"/>
  <c r="K5" i="1"/>
  <c r="T4" i="1"/>
  <c r="P4" i="1"/>
  <c r="K4" i="1"/>
  <c r="G14" i="5" l="1"/>
  <c r="F14" i="5"/>
  <c r="E14" i="5"/>
  <c r="D14" i="5"/>
  <c r="C14" i="5"/>
  <c r="G13" i="5"/>
  <c r="F13" i="5"/>
  <c r="E13" i="5"/>
  <c r="D13" i="5"/>
  <c r="C13" i="5"/>
  <c r="G12" i="5"/>
  <c r="F12" i="5"/>
  <c r="E12" i="5"/>
  <c r="D12" i="5"/>
  <c r="C12" i="5"/>
  <c r="G11" i="5"/>
  <c r="F11" i="5"/>
  <c r="E11" i="5"/>
  <c r="D11" i="5"/>
  <c r="C11" i="5"/>
  <c r="G10" i="5"/>
  <c r="E10" i="5"/>
  <c r="D10" i="5"/>
  <c r="C10" i="5"/>
  <c r="F10" i="5"/>
  <c r="H28" i="4"/>
  <c r="P18" i="1"/>
  <c r="H28" i="3"/>
</calcChain>
</file>

<file path=xl/sharedStrings.xml><?xml version="1.0" encoding="utf-8"?>
<sst xmlns="http://schemas.openxmlformats.org/spreadsheetml/2006/main" count="867" uniqueCount="585">
  <si>
    <t>Step 1: Risk Identification</t>
  </si>
  <si>
    <t>Step 2: Risk Assessment</t>
  </si>
  <si>
    <t>Step 3: Risk Response</t>
  </si>
  <si>
    <t>Step 4: Monitor &amp; Control</t>
  </si>
  <si>
    <t>Rank</t>
  </si>
  <si>
    <t>Cost Impact ($M)</t>
  </si>
  <si>
    <t>Schedule Impact (Weeks)</t>
  </si>
  <si>
    <t>#</t>
  </si>
  <si>
    <t>Category</t>
  </si>
  <si>
    <t>Phase</t>
  </si>
  <si>
    <t>Opportunity / Threat</t>
  </si>
  <si>
    <t>Risk</t>
  </si>
  <si>
    <t>Risk Name</t>
  </si>
  <si>
    <t>Detailed Description</t>
  </si>
  <si>
    <t>P6 Work Package or Activity Related to Risk</t>
  </si>
  <si>
    <t>Probability (1 - 5)</t>
  </si>
  <si>
    <t>Consequence (1-5)</t>
  </si>
  <si>
    <t>Severity (Priority)</t>
  </si>
  <si>
    <t>Probability (%)</t>
  </si>
  <si>
    <t>Minimum (@10%)</t>
  </si>
  <si>
    <t>Most Likely Cost ($M)</t>
  </si>
  <si>
    <t>Maximum (@90%)</t>
  </si>
  <si>
    <t>COST IMPACT</t>
  </si>
  <si>
    <t>Minimum</t>
  </si>
  <si>
    <t>Most Likely (no. of weeks)</t>
  </si>
  <si>
    <t>Maximum</t>
  </si>
  <si>
    <t>TIME IMPACT (Weeks)</t>
  </si>
  <si>
    <t>Response Category</t>
  </si>
  <si>
    <t>Administration Notification</t>
  </si>
  <si>
    <t>Response</t>
  </si>
  <si>
    <t>Risk Owner</t>
  </si>
  <si>
    <t>Contingency Plan</t>
  </si>
  <si>
    <t>Status</t>
  </si>
  <si>
    <t>Date Last Updated</t>
  </si>
  <si>
    <t>Tracking Comments</t>
  </si>
  <si>
    <t>Regulatory</t>
  </si>
  <si>
    <t>Design</t>
  </si>
  <si>
    <t>Threat</t>
  </si>
  <si>
    <t>Delay in German business registration</t>
  </si>
  <si>
    <t>The registration of Ecopack as a legal business entity in Germany may take longer than expected due to administrative procedures, incomplete documentation, or government approval delays. This could postpone project activities dependent on legal authorization.</t>
  </si>
  <si>
    <t>Business Registration</t>
  </si>
  <si>
    <t>Mitigate</t>
  </si>
  <si>
    <t>Yes</t>
  </si>
  <si>
    <t>Hire local legal consultants</t>
  </si>
  <si>
    <t>Project Manager</t>
  </si>
  <si>
    <t>Escalate to legal firm</t>
  </si>
  <si>
    <t>Open</t>
  </si>
  <si>
    <t>Critical startup dependency</t>
  </si>
  <si>
    <t xml:space="preserve">Environmental  </t>
  </si>
  <si>
    <t>Construction</t>
  </si>
  <si>
    <t>Environmental compliance approval delay</t>
  </si>
  <si>
    <t>Ecopack may experience delays in obtaining environmental permits and sustainability certifications required by German authorities, impacting facility operations and market entry timelines.</t>
  </si>
  <si>
    <t>Compliance Management</t>
  </si>
  <si>
    <t>No</t>
  </si>
  <si>
    <t>Early permit applications</t>
  </si>
  <si>
    <t>Compliance Manager</t>
  </si>
  <si>
    <t>Use external consultants</t>
  </si>
  <si>
    <t>Government approvals required</t>
  </si>
  <si>
    <t>Planning/Scoping</t>
  </si>
  <si>
    <t>Operations Manager</t>
  </si>
  <si>
    <t>Design-Constructin</t>
  </si>
  <si>
    <t>Issue</t>
  </si>
  <si>
    <t>Equipment procurement delays</t>
  </si>
  <si>
    <t>Production machinery and packaging equipment may not arrive on schedule because of supplier shortages, transportation disruptions, or customs clearance delays, impacting operational startup.</t>
  </si>
  <si>
    <t>Equipment Procurement</t>
  </si>
  <si>
    <t>Order equipment early</t>
  </si>
  <si>
    <t>Procurement Manager</t>
  </si>
  <si>
    <t>Secondary suppliers</t>
  </si>
  <si>
    <t>Supply chain risk</t>
  </si>
  <si>
    <t>Funding</t>
  </si>
  <si>
    <t>Budget overrun beyond €900,000</t>
  </si>
  <si>
    <t>Project costs may exceed the approved budget due to inflation, unexpected expenses, scope changes, contractor claims, or procurement price increases, reducing project profitability.</t>
  </si>
  <si>
    <t>Entire Project</t>
  </si>
  <si>
    <t>Monthly budget monitoring</t>
  </si>
  <si>
    <t>Use contingency reserve</t>
  </si>
  <si>
    <t>Continuous monitoring</t>
  </si>
  <si>
    <t>Organizational</t>
  </si>
  <si>
    <t>Supplier contract failure</t>
  </si>
  <si>
    <t>Selected suppliers may fail to meet contractual obligations related to quality, quantity, delivery schedules, or pricing, causing disruptions to production and operations.</t>
  </si>
  <si>
    <t>Supplier Management</t>
  </si>
  <si>
    <t>Multiple suppliers</t>
  </si>
  <si>
    <t>Backup vendor contracts</t>
  </si>
  <si>
    <t>Vendor diversification</t>
  </si>
  <si>
    <t>Digital platform development delay</t>
  </si>
  <si>
    <t>Development of the online ordering and customer management platform may exceed planned timelines because of technical challenges, changing requirements, insufficient resources, or testing failures.</t>
  </si>
  <si>
    <t>Digital Ordering Platform</t>
  </si>
  <si>
    <t>Agile sprint reviews</t>
  </si>
  <si>
    <t>IT Manager</t>
  </si>
  <si>
    <t>Additional developers</t>
  </si>
  <si>
    <t>Key project milestone</t>
  </si>
  <si>
    <t>Cybersecurity breach on platform</t>
  </si>
  <si>
    <t>Unauthorized access, malware attacks, data breaches, or other cybersecurity incidents may compromise customer information, business data, and operational continuity of the digital ordering platform.</t>
  </si>
  <si>
    <t>Security testing</t>
  </si>
  <si>
    <t>Disaster recovery plan</t>
  </si>
  <si>
    <t>Security monitoring required</t>
  </si>
  <si>
    <t>Difficulty recruiting skilled workforce</t>
  </si>
  <si>
    <t>Challenges in attracting qualified employees in Germany may delay workforce establishment due to labor shortages, competition from employers, language barriers, or skill mismatches.</t>
  </si>
  <si>
    <t>Recruitment &amp; HR</t>
  </si>
  <si>
    <t>Early recruitment campaign</t>
  </si>
  <si>
    <t>HR Manager</t>
  </si>
  <si>
    <t>Outsourcing options</t>
  </si>
  <si>
    <t>Labor market competition</t>
  </si>
  <si>
    <t>Public</t>
  </si>
  <si>
    <t>Low customer adoption in Germany</t>
  </si>
  <si>
    <t>Target customers may be slow to adopt Ecopack’s products and services because of limited brand awareness, strong competition, pricing concerns, or resistance to switching suppliers.</t>
  </si>
  <si>
    <t>Marketing &amp; Sales</t>
  </si>
  <si>
    <t>Strong marketing campaign</t>
  </si>
  <si>
    <t>Sales Manager</t>
  </si>
  <si>
    <t>Additional promotions</t>
  </si>
  <si>
    <t>Revenue impact</t>
  </si>
  <si>
    <t>Geotechnical/Materials</t>
  </si>
  <si>
    <t>Strong local competition</t>
  </si>
  <si>
    <t>Existing German packaging companies may respond aggressively through competitive pricing, marketing campaigns, or enhanced service offerings, limiting Ecopack’s market penetration.</t>
  </si>
  <si>
    <t>Competitive pricing strategy</t>
  </si>
  <si>
    <t>Product differentiation</t>
  </si>
  <si>
    <t>Continuous market analysis</t>
  </si>
  <si>
    <t>Raw material shortages</t>
  </si>
  <si>
    <t>Supply chain disruptions, supplier issues, transportation problems, or global market fluctuations may reduce the availability of sustainable packaging materials needed for production.</t>
  </si>
  <si>
    <t>Production Operations</t>
  </si>
  <si>
    <t>Multiple sourcing strategy</t>
  </si>
  <si>
    <t>Emergency suppliers</t>
  </si>
  <si>
    <t>Highest risk</t>
  </si>
  <si>
    <t>Product quality issues</t>
  </si>
  <si>
    <t>Manufacturing defects, inconsistent production standards, equipment malfunction, or inadequate quality control procedures may result in products that fail to meet customer expectations.</t>
  </si>
  <si>
    <t>Manufacturing Operations</t>
  </si>
  <si>
    <t>QA inspections</t>
  </si>
  <si>
    <t>Quality Manager</t>
  </si>
  <si>
    <t>Product recall process</t>
  </si>
  <si>
    <t>Customer satisfaction impact</t>
  </si>
  <si>
    <t>Currency exchange fluctuations</t>
  </si>
  <si>
    <t>Variations in exchange rates between the Euro and international currencies may increase procurement costs, reduce profit margins, and affect overall project financial performance.</t>
  </si>
  <si>
    <t>Financial Management</t>
  </si>
  <si>
    <t>Financial monitoring</t>
  </si>
  <si>
    <t>Finance Manager</t>
  </si>
  <si>
    <t>Currency reserve</t>
  </si>
  <si>
    <t>Moderate impact</t>
  </si>
  <si>
    <t>Traffic</t>
  </si>
  <si>
    <t>Distribution network delays</t>
  </si>
  <si>
    <t>Logistics providers may face transportation bottlenecks, warehouse issues, labor shortages, or route disruptions that delay product deliveries to customers across Germany.</t>
  </si>
  <si>
    <t>Logistics Setup</t>
  </si>
  <si>
    <t>Multiple logistics partners</t>
  </si>
  <si>
    <t>Alternative transport routes</t>
  </si>
  <si>
    <t>Delivery performance risk</t>
  </si>
  <si>
    <t>Opportunity</t>
  </si>
  <si>
    <t>Growing demand for sustainable packaging</t>
  </si>
  <si>
    <t>Increasing environmental awareness and government sustainability initiatives may significantly increase demand for eco-friendly packaging solutions, creating additional revenue opportunities for Ecopack.</t>
  </si>
  <si>
    <t>Market Expansion</t>
  </si>
  <si>
    <t>Aggressive market penetration</t>
  </si>
  <si>
    <t>Increase production capacity</t>
  </si>
  <si>
    <t>Major business opportunity</t>
  </si>
  <si>
    <t>Strategic partnerships with German firms</t>
  </si>
  <si>
    <t>Collaborations with local suppliers, distributors, retailers, and sustainability organizations may improve market access, reduce operational risks, and strengthen brand positioning.</t>
  </si>
  <si>
    <t>Partnership development</t>
  </si>
  <si>
    <t>Business Development Manager</t>
  </si>
  <si>
    <t>Additional partnership programs</t>
  </si>
  <si>
    <t>Expansion potential</t>
  </si>
  <si>
    <t>Government sustainability incentives</t>
  </si>
  <si>
    <t>German government grants, tax benefits, and environmental support programs may reduce project costs and improve financial returns if Ecopack successfully qualifies for them.</t>
  </si>
  <si>
    <t>Compliance &amp; Finance</t>
  </si>
  <si>
    <t>Apply for grants</t>
  </si>
  <si>
    <t>Seek alternative funding</t>
  </si>
  <si>
    <t>Funding opportunity</t>
  </si>
  <si>
    <t>General Tips</t>
  </si>
  <si>
    <t>1.      Utilize the drop down menus when available to keep things consistent</t>
  </si>
  <si>
    <t>2.      Use “Alt + Enter” to place a hard return within a cell.  Using a hyphen “-“ as a bullet at the beginning of text along with a hard return at the end of text helps keep information organized when there is more than one response plan or owner.</t>
  </si>
  <si>
    <t>Description of risk Register column.</t>
  </si>
  <si>
    <t>Helpful Hints for risk Assessment</t>
  </si>
  <si>
    <t>No.:</t>
  </si>
  <si>
    <t xml:space="preserve">Identification number of each risk.  </t>
  </si>
  <si>
    <t>Once risks are identified, they should be given a unique identification number, beginning with 1.</t>
  </si>
  <si>
    <t>Date ID:</t>
  </si>
  <si>
    <t>The date that the risk was originally identified and included in the risk register.</t>
  </si>
  <si>
    <t xml:space="preserve">Date Updated:  </t>
  </si>
  <si>
    <t>The date that the risk was last updated in the risk register.</t>
  </si>
  <si>
    <t>Project:</t>
  </si>
  <si>
    <t xml:space="preserve">The name of the project.  </t>
  </si>
  <si>
    <t>The name used should be consistent for each project.</t>
  </si>
  <si>
    <t>Category:</t>
  </si>
  <si>
    <t xml:space="preserve">The primary category or functional area that the risk pertains to. </t>
  </si>
  <si>
    <t xml:space="preserve"> Generally, the risk breakdown structure is a way of categorizing or grouping risks by the potential cause of the risk.</t>
  </si>
  <si>
    <t>SubCategory</t>
  </si>
  <si>
    <t xml:space="preserve">The second level of the RBS.  </t>
  </si>
  <si>
    <t>The RBS Group 2 is a more detailed grouping of a particular risk than RBS Group 1.</t>
  </si>
  <si>
    <t>Opportunity/Threat:</t>
  </si>
  <si>
    <t>Risk identified as an opportunity in the assessment section of the risk register</t>
  </si>
  <si>
    <t>Risk identified as a threat in the assessment section of the risk register</t>
  </si>
  <si>
    <t>Opp./Threat</t>
  </si>
  <si>
    <t>Risk identified as an opportunity and a threat in the assessment section of the risk register</t>
  </si>
  <si>
    <t>Summary Description:</t>
  </si>
  <si>
    <t>Brief, generally unique description of the risk specific to the Project</t>
  </si>
  <si>
    <t>In the identification process, think about risks relevant to the project scope, schedule, or cost.  Additionally think of risks that may impact the agency's reputation.</t>
  </si>
  <si>
    <t>Detailed Description:</t>
  </si>
  <si>
    <t>Detailed description of the risk, generally including a "cause", possible "risk event", and "effects".</t>
  </si>
  <si>
    <t>The goal is to ensure that other users of the register can interpret the risk identified.  Try to be specific and not overly vague.  Sample risk statement templates are "If &lt;uncertain event&gt; --&gt; then &lt;effect on objectives&gt;." or "Due to &lt;definite cause&gt;, &lt;uncertain event&gt; may occur, resulting in &lt;effect on objectives&gt;.</t>
  </si>
  <si>
    <t>Probability:</t>
  </si>
  <si>
    <t>A rating on a scale of 1 through 5 indicating the likelihood that a risks will occur based on current requirements or conditions.  See "Opportunity - Rating Desc." and "Threat - Rating Desc." tabs.</t>
  </si>
  <si>
    <t>Project Impact (pre-response):</t>
  </si>
  <si>
    <r>
      <rPr>
        <sz val="11"/>
        <color theme="1"/>
        <rFont val="Arial"/>
      </rPr>
      <t xml:space="preserve">Impacts to project objectives of quality, cost, and time.  </t>
    </r>
    <r>
      <rPr>
        <b/>
        <u/>
        <sz val="11"/>
        <color rgb="FF0000FF"/>
        <rFont val="Arial"/>
      </rPr>
      <t>The pre-response rating is based on current requirements or conditions, prior to the response plan being implemented</t>
    </r>
    <r>
      <rPr>
        <b/>
        <sz val="11"/>
        <color rgb="FF0000FF"/>
        <rFont val="Arial"/>
      </rPr>
      <t>.</t>
    </r>
    <r>
      <rPr>
        <sz val="11"/>
        <color theme="1"/>
        <rFont val="Arial"/>
      </rPr>
      <t xml:space="preserve">  </t>
    </r>
  </si>
  <si>
    <t xml:space="preserve">See "Opportunity - Rating Desc." and "Threat - Rating Desc." tabs for general rating definitions to be used as guidance; however this is also subject to judgment of the project team.  </t>
  </si>
  <si>
    <t>Severity (P):</t>
  </si>
  <si>
    <t>The product of the probability and the highest rated project risks impact</t>
  </si>
  <si>
    <t>Agency Impact (pre-response):</t>
  </si>
  <si>
    <t xml:space="preserve">Impacts to MnDOT's goals of safety, connectivity, congestion, and best-in-class agency (reputation, public perception, etc...).  The pre-response rating is based on current requirements or conditions, prior to the response plan being implemented.  </t>
  </si>
  <si>
    <t>See "Opportunity - Rating Desc." and "Threat - Rating Desc." tabs for general rating definitions to be used as guidance; however this is also subject to judgment of the project team.</t>
  </si>
  <si>
    <t>Severity (A):</t>
  </si>
  <si>
    <t>The product of the probability and the highest rated agency risks impact</t>
  </si>
  <si>
    <t>Severity (max):</t>
  </si>
  <si>
    <t>The absolute value of the highest rated project and agency risks severity value - used primarily for sorting and normally hidden in reporting.</t>
  </si>
  <si>
    <t>The estimated likelihood in percent (%) of the risk occurring based on current state of the risk.  For the initial risk assessment, this value should generally correlate with the pre-response assessment.  For subsequent risk assessments as response plans are implemented, the value should reflect the estimated probability at the time of assessment.</t>
  </si>
  <si>
    <t>Minimum (Cost)</t>
  </si>
  <si>
    <t>The estimated minimum cost impact of the risk if it were to occur (in millions of dollars).  For the initial risk assessment, this value should generally correlate with the pre-response assessment.  For subsequent risk assessments as response plans are implemented, the value should reflect the estimated impact at the time of assessment.</t>
  </si>
  <si>
    <t>Most Likely (Cost):</t>
  </si>
  <si>
    <t>The estimated most likely cost impact of the risk if it were to occur (in millions of dollars).  For the initial risk assessment, this value should generally correlate with the pre-response assessment.  For subsequent risk assements as response plans are implemented, the value should reflect the estimated impact at the time of assessment.</t>
  </si>
  <si>
    <t>Maximum (Cost)</t>
  </si>
  <si>
    <t>The estimated maximum cost impact of the risk if it were to occur (in millions of dollars).  For the initial risk assessment, this value should generally correlate with the pre-response assessment.  For subsequent risk assessments as response plans are implemented, the value should reflect the estimated impact at the time of assessment.</t>
  </si>
  <si>
    <t>Minimum (Schedule)</t>
  </si>
  <si>
    <t>The estimated minimum schedule impact of the risk if it were to occur (in months).  For the initial risk assessment, this value should generally correlate with the pre-response assessment.  For subsequent risk assessments as response plans are implemented, the value should reflect the estimated impact at the time of assessment.</t>
  </si>
  <si>
    <t>Most Likely (Schedule):</t>
  </si>
  <si>
    <t>The estimated most likely schedule impact of the risk if it were to occur (in months).  For the initial risk assessment, this value should generally correlate with the pre-response assessment.  For subsequent risk assessments as response plans are implemented, the value should reflect the estimated impact at the time of assessment.</t>
  </si>
  <si>
    <t>Response Category:</t>
  </si>
  <si>
    <t>Opportunity or Threat Response - Pick One</t>
  </si>
  <si>
    <t>Accept</t>
  </si>
  <si>
    <t>Indicates that the project team has decided not to change the project plan to deal with a risk, or is unable to identify any other suitable response strategy.  It should be noted, that mitigation or transference is not necessary for all risk threats, particularly those with a small severity rating.  Judgment must be used as to whether a more rigorous (and potentially costly) response should be implemented.</t>
  </si>
  <si>
    <t>If accept is chosen as the response, generally the pre- and post-response assessment ratings remain the same.</t>
  </si>
  <si>
    <t>Share</t>
  </si>
  <si>
    <t>Allocates a portion of ownership of a risk threat to another party who is best able to minimize the impact and/or probability of the risks.
Allocates all or a portion of ownership of a risk opportunity to another party who is best able to maximize its probability of occurrence and increase the potential benefits if it does occur.  MnDOT and 3rd party share the benefits of the opportunity.</t>
  </si>
  <si>
    <t>Threat Response</t>
  </si>
  <si>
    <t>Seeks to reduce the probability and/or impact of a risks threat to below an acceptable threshold.</t>
  </si>
  <si>
    <t>If mitigate is chosen as the response, generally the post response assessment is lower than the pre-response assessment.</t>
  </si>
  <si>
    <t>Transfer</t>
  </si>
  <si>
    <t>Allocates all ownership of a risk threat to another party who is best able to minimize the impact and/or probability of the risk.</t>
  </si>
  <si>
    <t>If transfer is chosen as the response, generally the post response assessment is lower than the pre-response assessment.  If the risk is fully transferred with no residual risk to MnDOT, the post-response assessment would equal zero.  However, it is important to think about the cost of transferring the risk, which can be captured in the "Response Cost" column.</t>
  </si>
  <si>
    <t>Avoid</t>
  </si>
  <si>
    <t xml:space="preserve">Involves changing the project plan to eliminate the risk threat or to protect the project objectives from its impact. </t>
  </si>
  <si>
    <t>If avoid is chosen as the response, generally the risk is totally eliminated in the post response assessment.</t>
  </si>
  <si>
    <t>Opportunity Response</t>
  </si>
  <si>
    <t>Enhance</t>
  </si>
  <si>
    <t>Seeks to modify the “size” of a risk opportunity by increasing its probability and/or impact thereby maximizing benefits realized for the project.</t>
  </si>
  <si>
    <t>Exploit</t>
  </si>
  <si>
    <t>Seeks to eliminate the uncertainty associated with a particular upside risk by making the risk opportunity definitely happen - can be considered a more rigorous response than "enhance".</t>
  </si>
  <si>
    <t>Urgency:</t>
  </si>
  <si>
    <t>Rating of "High", "Medium", or "Low" in regards to when the risk needs to be addressed.</t>
  </si>
  <si>
    <t>Project Impact (post-response):</t>
  </si>
  <si>
    <t>Impacts to project objectives of quality, cost, and time.  The post-response rating is the residual risk assuming the response plan has been implemented properly.  See "Opportunity - Rating Desc." and "Threat - Rating Desc." tabs for general rating definitions to be used as guidance; however this is also subject to judgment of the project team.</t>
  </si>
  <si>
    <t>These cells come prepopulated with values from the pre-response to assist with data entry in the post-response evaluation.  The prepopulated values (formulas) should be overwritten with new ratings of 1 through 5 taking into account the response plan.  If the response is to accept, the values would remain the same as the pre-response.</t>
  </si>
  <si>
    <t>The product of the probability and the highest rated project risk impact</t>
  </si>
  <si>
    <t>Agency Impact (post-response):</t>
  </si>
  <si>
    <t>Impacts to MnDOT's goals of safety, connectivity, congestion, and best-in-class agency (reputation, public perception, etc...).  The post-response rating is the residual risk assuming the response plan has been implemented properly.  See "Opportunity - Rating Desc." and "Threat - Rating Desc." tabs for general rating definitions to be used as guidance; however this is also subject to judgment of the project team.</t>
  </si>
  <si>
    <t>The product of the probability and the highest rated agency risk impact</t>
  </si>
  <si>
    <t>The absolute value of the highest rated project and agency risk severity value - used primarily for sorting and normally hidden in reporting.</t>
  </si>
  <si>
    <t>Priority</t>
  </si>
  <si>
    <r>
      <rPr>
        <sz val="11"/>
        <color theme="1"/>
        <rFont val="Arial"/>
      </rPr>
      <t xml:space="preserve">Priorities are either "high", "medium", or "low".
- </t>
    </r>
    <r>
      <rPr>
        <b/>
        <u/>
        <sz val="11"/>
        <color rgb="FF0000FF"/>
        <rFont val="Arial"/>
      </rPr>
      <t>High</t>
    </r>
    <r>
      <rPr>
        <sz val="11"/>
        <color theme="1"/>
        <rFont val="Arial"/>
      </rPr>
      <t xml:space="preserve"> priorities are generally items that require immediate action or discussions at a higher level than the project team.
- </t>
    </r>
    <r>
      <rPr>
        <b/>
        <u/>
        <sz val="11"/>
        <color rgb="FF0000FF"/>
        <rFont val="Arial"/>
      </rPr>
      <t>Medium</t>
    </r>
    <r>
      <rPr>
        <sz val="11"/>
        <color theme="1"/>
        <rFont val="Arial"/>
      </rPr>
      <t xml:space="preserve"> priorities are generally items that are being actively addressed or monitored by the proiect team.
- </t>
    </r>
    <r>
      <rPr>
        <b/>
        <u/>
        <sz val="11"/>
        <color rgb="FF0000FF"/>
        <rFont val="Arial"/>
      </rPr>
      <t>Low</t>
    </r>
    <r>
      <rPr>
        <sz val="11"/>
        <color theme="1"/>
        <rFont val="Arial"/>
      </rPr>
      <t xml:space="preserve"> priorities are identified items that are not being actively addressed or monitored, but are desired by the project team to remain on the register in the event that conditions change on the project.</t>
    </r>
  </si>
  <si>
    <t>Response:</t>
  </si>
  <si>
    <t>Primary plan to address the risk.</t>
  </si>
  <si>
    <t>Response plans should be specific enough to implement.  It is okay to include steps to implementation.  For example further study may be needed prior to implementing a response plan to determine whether it would be effective; or options may need to be evaluated and decided upon by the project team prior to implementation.  Owners assigned are those who are best able to monitor the risk and implement the response.  More than one owner can be assigned, but it should be clear what each owner is responsible for.</t>
  </si>
  <si>
    <t>Risk Owner:</t>
  </si>
  <si>
    <t xml:space="preserve">Person or people assigned to implement the response plan and monitor the risk.  </t>
  </si>
  <si>
    <t>If multiple people are assigned as owners, it should be clear what each of their roles are and what they are individually responsible for.</t>
  </si>
  <si>
    <t>Trigger(s):</t>
  </si>
  <si>
    <t>Description of events that may serve as indicators that a risk has occurred or is about to occur.  Triggers help in monitoring the risk.  Identification of triggers is recommended, but may not be applicable in all cases.</t>
  </si>
  <si>
    <t>Think about potential risk triggers and list them if they apply.  Triggers are not absolutely necessary for all risks, but are useful in monitoring.  They are indications that the risk is about to occur or has occurred.</t>
  </si>
  <si>
    <t>Contingency Plan:</t>
  </si>
  <si>
    <r>
      <rPr>
        <sz val="11"/>
        <color theme="1"/>
        <rFont val="Arial"/>
      </rPr>
      <t xml:space="preserve">For risks, this is the plan to address  </t>
    </r>
    <r>
      <rPr>
        <b/>
        <u/>
        <sz val="11"/>
        <color rgb="FF0000FF"/>
        <rFont val="Arial"/>
      </rPr>
      <t>if the risk threat were to occur</t>
    </r>
    <r>
      <rPr>
        <sz val="11"/>
        <color theme="1"/>
        <rFont val="Arial"/>
      </rPr>
      <t xml:space="preserve">.  Contingency plans allow for agreement of the plan in advance so that the plan can be implemented more efficiently in order to reduce impacts.  </t>
    </r>
    <r>
      <rPr>
        <b/>
        <u/>
        <sz val="11"/>
        <color rgb="FF0000FF"/>
        <rFont val="Arial"/>
      </rPr>
      <t>Developing contingency plans is recommended, but may not be applicable in all cases.</t>
    </r>
  </si>
  <si>
    <t>Determine whether a contingency plan would be beneficial.  Not all risks need a contingency plan but they are helpful for when a risk event does occur or the primary plan fails so there is a rough plan in place to put into action.</t>
  </si>
  <si>
    <t>Response Cost:</t>
  </si>
  <si>
    <t>Cost of the response plan as provided in the risk register for cost estimating purposes.  This cost may be shown as negligible if it is reasonable to assume the costs can be absorbed into other project activities.  Estimating response cost is recommended, but may not be applicable in all cases.</t>
  </si>
  <si>
    <t>Agency Risk (X):</t>
  </si>
  <si>
    <t>Automated box that includes an "X" for risks that are identified with Agency impacts.</t>
  </si>
  <si>
    <t>Cost Impacts (X):</t>
  </si>
  <si>
    <t>Automated box that includes an "X" for risks that are identified with cost impacts.</t>
  </si>
  <si>
    <t>If performing the quantitative assessment, this box is an indicator that cost impacts (in millions of dollars) should be entered in cells AS through AU.</t>
  </si>
  <si>
    <t>Schedule Impacts (X):</t>
  </si>
  <si>
    <t>Automated box that includes an "X" for risks/issue that are identified with schedule impacts.</t>
  </si>
  <si>
    <t>If performing the quantitative assessment, this box is an indicator that schedule impacts (in months) should be entered in cells AV through AX.</t>
  </si>
  <si>
    <t>Maximum (Schedule)</t>
  </si>
  <si>
    <t>The estimated maximum schedule impact of the risk if it were to occur (in months).  For the initial risk assessment, this value should generally correlate with the pre-response assessment.  For subsequent risk assessments as response plans are implemented, the value should reflect the estimated impact at the time of assessment.</t>
  </si>
  <si>
    <t xml:space="preserve"> Cost Impact </t>
  </si>
  <si>
    <t>The adjusted cost impacts of the risk (in millions of dollars) taking into account the probability and the minimum, most likely, and maximum cost impacts.</t>
  </si>
  <si>
    <t xml:space="preserve"> The equation used is the product of the probability and weighted average of the minimum, most likely, and maximum values.
(probability (%) * (minimum + 4*most likely + maximum)/6))</t>
  </si>
  <si>
    <t xml:space="preserve">Schedule Impact </t>
  </si>
  <si>
    <t>The adjusted schedule impacts of the risk (in weeks) taking into account the probability and the minimum, most likely, and maximum cost impacts.</t>
  </si>
  <si>
    <t>Status:</t>
  </si>
  <si>
    <t>Active (Not Started)</t>
  </si>
  <si>
    <t>Risk is being actively monitored and controlled, but the response plan has not been initiated.</t>
  </si>
  <si>
    <t>Active (Ongoing)</t>
  </si>
  <si>
    <t>Risk is being actively monitored and controlled, and the response plan is currently being implemented.</t>
  </si>
  <si>
    <t>Active (Complete)</t>
  </si>
  <si>
    <t>The risk is still being being actively monitored and controlled; however all work on the response plan is complete.</t>
  </si>
  <si>
    <t>Dormant (Not Started)</t>
  </si>
  <si>
    <t>Risk is not currently a high priority, but may become active in the future</t>
  </si>
  <si>
    <t>This status is not often used.</t>
  </si>
  <si>
    <t>Retired (Complete)</t>
  </si>
  <si>
    <t>Risk is no longer a threat to project objectives</t>
  </si>
  <si>
    <r>
      <rPr>
        <sz val="11"/>
        <color theme="1"/>
        <rFont val="Arial"/>
      </rPr>
      <t xml:space="preserve">Risks that are no longer applicable should be listed as "retired" and </t>
    </r>
    <r>
      <rPr>
        <b/>
        <u/>
        <sz val="11"/>
        <color theme="1"/>
        <rFont val="Arial"/>
      </rPr>
      <t>not deleted from the register</t>
    </r>
    <r>
      <rPr>
        <sz val="11"/>
        <color theme="1"/>
        <rFont val="Arial"/>
      </rPr>
      <t>.</t>
    </r>
  </si>
  <si>
    <t>Tracking Comments:</t>
  </si>
  <si>
    <t>Include any comments associated with the risk and the update to the risk in this box.</t>
  </si>
  <si>
    <t>Utilize the comments section to provide updates on actions or owners, or to note changes associated with the response plans.</t>
  </si>
  <si>
    <t>Impact Rating</t>
  </si>
  <si>
    <t>Context</t>
  </si>
  <si>
    <t>Project Impacts</t>
  </si>
  <si>
    <t>Low</t>
  </si>
  <si>
    <t>Medium-Low</t>
  </si>
  <si>
    <t>Medium</t>
  </si>
  <si>
    <t>Medium-High</t>
  </si>
  <si>
    <t>High</t>
  </si>
  <si>
    <t>Quality</t>
  </si>
  <si>
    <t>Negligible improvements to design quality
Negligible improvements to long-term maintenance 
Barely noticeable</t>
  </si>
  <si>
    <t>Noticeable improvements to design quality
Minor improvements to long-term maintenance
Minor scope improvements</t>
  </si>
  <si>
    <t>Significant improvements to design quality
Significant improvements to long-term maintenance
Significant scope improvements</t>
  </si>
  <si>
    <t>Major improvements to design quality
Major improvements to long-term maintenance
Major scope improvements</t>
  </si>
  <si>
    <t>Exceptional improvements to design quality
Exceptional improvements to long-term maintenance
Exceptional scope improvements</t>
  </si>
  <si>
    <t>Cost
(% of project cost)</t>
  </si>
  <si>
    <t>cost savings = 1%</t>
  </si>
  <si>
    <t>cost savings = 2%</t>
  </si>
  <si>
    <t>cost savings = 3%</t>
  </si>
  <si>
    <t>cost savings = 4%</t>
  </si>
  <si>
    <t>cost savings &gt; 5%</t>
  </si>
  <si>
    <t>Schedule
(% of project schedule, subject to schedule analysis)</t>
  </si>
  <si>
    <t>schedule savings = 1%</t>
  </si>
  <si>
    <t>schedule savings = 2%</t>
  </si>
  <si>
    <t>schedule savings = 3%</t>
  </si>
  <si>
    <t>schedule savings = 4%</t>
  </si>
  <si>
    <t>schedule savings &gt; 5%</t>
  </si>
  <si>
    <t>Agency Impacts</t>
  </si>
  <si>
    <t>Safety</t>
  </si>
  <si>
    <t>Negligible safety improvements</t>
  </si>
  <si>
    <t>Minor safety improvements</t>
  </si>
  <si>
    <t>Significant safety improvements</t>
  </si>
  <si>
    <t>Major safety improvements</t>
  </si>
  <si>
    <t>Exceptional safety improvements</t>
  </si>
  <si>
    <t>Congestion</t>
  </si>
  <si>
    <t xml:space="preserve">Negligible congestion relief or additional capacity from anticipated scope within corridor </t>
  </si>
  <si>
    <t>Noticeable congestion relief or additional capacity from anticipated scope within corridor</t>
  </si>
  <si>
    <t xml:space="preserve">Significant congestion relief or additional capacity from anticipated scope at several points within the corridor or major congestion relief at single point within the corridor </t>
  </si>
  <si>
    <t xml:space="preserve">Major congestion relief or additional capacity from anticipated scope at several points along the corridor or exceptional congestion relief at single point within the corridor </t>
  </si>
  <si>
    <t xml:space="preserve">Exceptional congestion relief or additional capacity from anticipated scope at several points within the corridor </t>
  </si>
  <si>
    <t>Connectivity</t>
  </si>
  <si>
    <t>Negligible improvement from anticipated scope to project limits; or to throughput or connectivity at intersections, interchanges, or parallel or connecting roadways</t>
  </si>
  <si>
    <t>Minor improvement from anticipated scope to project limits; or to throughput or connectivity at intersections, interchanges, or parallel or connecting  roadways</t>
  </si>
  <si>
    <t xml:space="preserve">Significant improvement from anticipated scope to project limits; or to throughput or connectivity at intersections, interchanges, or parallel or connecting roadways </t>
  </si>
  <si>
    <t>Major improvement from anticipated scope to project limits; or to throughput or connectivity at intersections, interchanges, or parallel or connecting  roadways</t>
  </si>
  <si>
    <t xml:space="preserve">Exceptional improvements from anticipated scope to project limits; or to throughput or connectivity at intersections, interchanges, or parallel or connecting  roadways </t>
  </si>
  <si>
    <t>Best-in-class agency</t>
  </si>
  <si>
    <t>Negligible benefit to agency's reputation</t>
  </si>
  <si>
    <t>Minor benefit to agency's reputation, single press release</t>
  </si>
  <si>
    <t>Significant benefit to agency's reputation, multiple press releases in regional news</t>
  </si>
  <si>
    <t>Major benefit to agency's reputation, major industry awards, multiple press releases, statewide news</t>
  </si>
  <si>
    <t>Exceptional industry recognition, multiple press releases, national news</t>
  </si>
  <si>
    <t>Probability Rating</t>
  </si>
  <si>
    <t>Probability of occurrence</t>
  </si>
  <si>
    <t>Note: probability scale for threats and opportunities are color coded the same to ensure conditional formatting of cells is consistent and severity rankings are calculated correctly</t>
  </si>
  <si>
    <t>Total</t>
  </si>
  <si>
    <t>Needed to reach 100</t>
  </si>
  <si>
    <t>Scale modifier</t>
  </si>
  <si>
    <t>Negligible impacts to design quality
Negligible impacts to long-term maintenance 
Barely noticeable</t>
  </si>
  <si>
    <t>Requires Design Variance
Minor impacts to long-term maintenance
Minor scope reduction</t>
  </si>
  <si>
    <t>Requires Design waiver
Significant impacts to long-term maintenance
Major scope reduction</t>
  </si>
  <si>
    <t>Does not meet acceptable standards and requires Design Exception
Major impacts to long-term maintenance
Changes unacceptable to TxDOT or stakeholders</t>
  </si>
  <si>
    <t>Does not meet acceptable standards and Design Exception not likely
Unacceptable impacts to long-term maintenance
Project does not meet need and purpose</t>
  </si>
  <si>
    <t>cost increase = 1%</t>
  </si>
  <si>
    <t xml:space="preserve"> cost increase = 2%</t>
  </si>
  <si>
    <t>cost increase = 3%</t>
  </si>
  <si>
    <t>cost increase = 4%</t>
  </si>
  <si>
    <t>cost increase &gt; 5%</t>
  </si>
  <si>
    <t>delay = 1%</t>
  </si>
  <si>
    <t>delay = 2%</t>
  </si>
  <si>
    <t>delay = 3%</t>
  </si>
  <si>
    <t>delay = 4%</t>
  </si>
  <si>
    <t>delay &gt; 5%</t>
  </si>
  <si>
    <t>First Aid</t>
  </si>
  <si>
    <t>Restricted Duty / Doctor Visit</t>
  </si>
  <si>
    <t>Recordable</t>
  </si>
  <si>
    <t>Lost Time</t>
  </si>
  <si>
    <t>Major injury or death</t>
  </si>
  <si>
    <t>Minor additional congestion or reduction in capacity from anticipated scope</t>
  </si>
  <si>
    <t xml:space="preserve">Noticeable additional congestion or reduction in capacity from anticipated scope </t>
  </si>
  <si>
    <t xml:space="preserve">Significant additional congestion or reduction in capacity from anticipated scope at several points or major congestion at single point within the corridor </t>
  </si>
  <si>
    <t xml:space="preserve">Major additional congestion or reduction in capacity from anticipated scope at several points along the corridor or exceptional congestion at single point within the corridor </t>
  </si>
  <si>
    <t>Unacceptable additional congestion or reduction in capacity from anticipated scope at any point within the corridor</t>
  </si>
  <si>
    <t>Negligible decrease from anticipated scope to project limits; or to throughput or connectivity at intersections, interchanges, or parallel or connecting roadways</t>
  </si>
  <si>
    <t>Minor decrease from anticipated scope to project limits; or to throughput or connectivity at intersections, interchanges, or parallel or connecting  roadways</t>
  </si>
  <si>
    <t xml:space="preserve">Significant decrease from anticipated scope to project limits; or to throughput or connectivity at intersections, interchanges, or parallel or connecting roadways </t>
  </si>
  <si>
    <t>Major decrease from anticipated scope to project limits; or to throughput or connectivity at intersections, interchanges, or parallel or connecting  roadways</t>
  </si>
  <si>
    <t>Unacceptable decrease from anticipated scope  to project limits; or to throughput or connectivity at intersections, interchanges, or parallel or connecting roadways</t>
  </si>
  <si>
    <t>Negligible impact to agency's reputation</t>
  </si>
  <si>
    <t>Noticeable impact to agency's reputation, single press release</t>
  </si>
  <si>
    <t>Significant impact to agency's reputation, multiple press releases in regional news</t>
  </si>
  <si>
    <t>Major impact to agency's reputation, multiple press releases, statewide news</t>
  </si>
  <si>
    <t>Potential legal action, multiple press releases, national news</t>
  </si>
  <si>
    <t>Med- Low</t>
  </si>
  <si>
    <t>Med</t>
  </si>
  <si>
    <t>Med- High</t>
  </si>
  <si>
    <t>Probability</t>
  </si>
  <si>
    <t>Consequence</t>
  </si>
  <si>
    <t>Risk Description</t>
  </si>
  <si>
    <t>Cost</t>
  </si>
  <si>
    <t>ROW acquisition costs higher than anticipated</t>
  </si>
  <si>
    <t>Unexpected geotechnical or groundwater issues</t>
  </si>
  <si>
    <t>Contingency comsumption above anticipated based on planned risk distribution/sharing</t>
  </si>
  <si>
    <t>Unanticipated escalation in righto fo way values or construction cost</t>
  </si>
  <si>
    <t>Unplanned work that must be accommodated</t>
  </si>
  <si>
    <t>Estimating and/or scheduling errors</t>
  </si>
  <si>
    <t>Force Majeure Events such as natural catastropes, sabotage and terrorism</t>
  </si>
  <si>
    <t>Developer usese non-standard components in maintenance replacements not in line with Department then-current techincal requirements or standards, e.g. different tolling or ITS components</t>
  </si>
  <si>
    <t>Environmental</t>
  </si>
  <si>
    <t>Design changes require additional Environmental analysis</t>
  </si>
  <si>
    <t>Environmental regulations change</t>
  </si>
  <si>
    <t>MPO model changes due to conformity</t>
  </si>
  <si>
    <t>Air quality attainment impacts travel demand</t>
  </si>
  <si>
    <t>Hazardous waste site analysis incomplete</t>
  </si>
  <si>
    <t>NEPA compliance 150d lawsuit window - will we get sued?</t>
  </si>
  <si>
    <t>Financial</t>
  </si>
  <si>
    <t>Lack of understanding of complex internal funding procedures</t>
  </si>
  <si>
    <t>Funding changes for fiscal year</t>
  </si>
  <si>
    <t>Capital funding unavailable for right of way or construction</t>
  </si>
  <si>
    <t>Global market conditions</t>
  </si>
  <si>
    <t>Potential inadequate local access to materials, labor, resources</t>
  </si>
  <si>
    <t>Labor shortage or strike</t>
  </si>
  <si>
    <t>Contract execution may need revisions to financial terms in the agreement</t>
  </si>
  <si>
    <t>Financial failure of Developer during construction or full term</t>
  </si>
  <si>
    <t>Bond availability &amp; favorable terms secured</t>
  </si>
  <si>
    <t>Developer not financially closing</t>
  </si>
  <si>
    <t>Legal</t>
  </si>
  <si>
    <t>Unforeseen agreements required</t>
  </si>
  <si>
    <t xml:space="preserve">External agreement development </t>
  </si>
  <si>
    <t>Unable to meet Americans with Disabilities Act requirements</t>
  </si>
  <si>
    <t>Developer contract legal sufficiency determination</t>
  </si>
  <si>
    <t>Terms of toll service agreement</t>
  </si>
  <si>
    <t>Added workload or time requirements because of new direction, policy, or statute</t>
  </si>
  <si>
    <t>Dispute on terms of agreement or technical provisions during construction</t>
  </si>
  <si>
    <t>Operational</t>
  </si>
  <si>
    <t>Losing critical staff at crucial point of the project</t>
  </si>
  <si>
    <t>Functional units not available, overloaded</t>
  </si>
  <si>
    <t>Internal “red tape” causes delay getting approvals, decisions</t>
  </si>
  <si>
    <t>Inexperienced staff assigned</t>
  </si>
  <si>
    <t>Lack of specialized staff (biology, anthropology, geotechnical, archeology, etc.)</t>
  </si>
  <si>
    <t>Readiness to prepare, review, &amp; deliver ROW acquisition packages</t>
  </si>
  <si>
    <t>Operational concerns relative to timing of support staff</t>
  </si>
  <si>
    <t>Readiness &amp; ability to review &amp; approve design deliverables</t>
  </si>
  <si>
    <t>Railroad involvement causes delays or additional scope/cost</t>
  </si>
  <si>
    <t>No control over staff priorities</t>
  </si>
  <si>
    <t>Goals &amp; needs to aid the project may counter District or higher level goals &amp; needs, e.g. good relationships with locals</t>
  </si>
  <si>
    <t>Communication/Coordination failure between state, project, developer, public, MPOs, etc.</t>
  </si>
  <si>
    <t>Unanticipated project manager workload</t>
  </si>
  <si>
    <t>Data management system malfunction</t>
  </si>
  <si>
    <t>Political / Public</t>
  </si>
  <si>
    <t>Local agency support not attained</t>
  </si>
  <si>
    <t>Priorities change on existing program</t>
  </si>
  <si>
    <t xml:space="preserve">New stakeholders emerge and request changes </t>
  </si>
  <si>
    <t>Reviewing agency requires longer than expected review time</t>
  </si>
  <si>
    <t>Public perception during construction, e.g. lane closures, business disruption</t>
  </si>
  <si>
    <t xml:space="preserve">Public Perception of Value of (interim) facility being constructed </t>
  </si>
  <si>
    <t>Successful Attainment of DBE Compliance by Developer</t>
  </si>
  <si>
    <t>Landowners unwilling to sell</t>
  </si>
  <si>
    <t>Controversy on environmental grounds causing project delay or re-evaluation</t>
  </si>
  <si>
    <t>Stakeholders request late changes</t>
  </si>
  <si>
    <t>Political factors or support for project changes</t>
  </si>
  <si>
    <t>Unreasonably high expectations from stakeholders</t>
  </si>
  <si>
    <t>Construction or pile driving noise and vibration impacting adjacent businesses or residents</t>
  </si>
  <si>
    <t>Anti-toll groups challenge NEPA decision</t>
  </si>
  <si>
    <t>Legislative support for TxDOT and SPD - political position viable?</t>
  </si>
  <si>
    <t>Highly involved local leadership preferences for project in control of developer</t>
  </si>
  <si>
    <t>Public acceptance of tolling roads</t>
  </si>
  <si>
    <t>Additional congestion in proximity to corridor during construction</t>
  </si>
  <si>
    <t>Quality / Performance / Scope</t>
  </si>
  <si>
    <t>Inconsistent cost, time, scope and quality objectives</t>
  </si>
  <si>
    <t>Overlapping of one or more project limits, scope of work or schedule</t>
  </si>
  <si>
    <t>Construction quality sufficient to meet short- and long-term maintenance expectations</t>
  </si>
  <si>
    <t>Construction quality sufficient to meet specifications and expectations for aesthetics and safety</t>
  </si>
  <si>
    <t>Unforeseen design exceptions required</t>
  </si>
  <si>
    <t>Unresolved constructability items</t>
  </si>
  <si>
    <t>Inaccurate assumptions on technical issues in planning stage</t>
  </si>
  <si>
    <t>Scope creep</t>
  </si>
  <si>
    <t>Unresolved project conflicts not escalated in a timely manner</t>
  </si>
  <si>
    <t>Change requests due to differing site conditions</t>
  </si>
  <si>
    <t>Project purpose and need is not well-defined</t>
  </si>
  <si>
    <t>Project scope definition is incomplete</t>
  </si>
  <si>
    <t>Project scope, schedule, objectives, cost, and deliverables are not clearly defined or understood</t>
  </si>
  <si>
    <t>Department-directed changes required during detailed design stage due to Department preference, political or public pressure or other external influences</t>
  </si>
  <si>
    <t>Unexpected 3rd party requirements during construction</t>
  </si>
  <si>
    <t>Capacity improvements not built within timeframes originally predicted or not built to suit reasonable travel demand so resulting in deteriorating level of service, not meeting stakeholder expectations, and/or not meeting environmental commitments.</t>
  </si>
  <si>
    <t>Schedule</t>
  </si>
  <si>
    <t>Permits delayed or take longer than expected</t>
  </si>
  <si>
    <t>ROW acquisition progressing slower than anticipated</t>
  </si>
  <si>
    <t>Consultant or contractor delays</t>
  </si>
  <si>
    <t>Utility relocation requires more time than planned</t>
  </si>
  <si>
    <t>Delay in earlier project phases jeopardizes ability to meet programmed delivery commitment</t>
  </si>
  <si>
    <t>Underestimated support resources or overly optimistic delivery schedule</t>
  </si>
  <si>
    <t xml:space="preserve">Categories </t>
  </si>
  <si>
    <t>PM</t>
  </si>
  <si>
    <t>ROW</t>
  </si>
  <si>
    <t>Railroad</t>
  </si>
  <si>
    <t>Utilities</t>
  </si>
  <si>
    <t>External</t>
  </si>
  <si>
    <t>Maint_Ops</t>
  </si>
  <si>
    <t>Identified</t>
  </si>
  <si>
    <t>– Risk documented, but analysis not performed</t>
  </si>
  <si>
    <t>Estimating</t>
  </si>
  <si>
    <t>Project Dependencies</t>
  </si>
  <si>
    <t>Requirements</t>
  </si>
  <si>
    <t>Structures</t>
  </si>
  <si>
    <t>Contractor</t>
  </si>
  <si>
    <t>Site/ Environmental Conditions</t>
  </si>
  <si>
    <t>Pavement</t>
  </si>
  <si>
    <t>Analysis Complete</t>
  </si>
  <si>
    <t>– Risk analysis done, but response planning not performed</t>
  </si>
  <si>
    <t>Planning/ Scope</t>
  </si>
  <si>
    <t>Resources</t>
  </si>
  <si>
    <t>Documentation</t>
  </si>
  <si>
    <t>Drainage</t>
  </si>
  <si>
    <t>Coordination</t>
  </si>
  <si>
    <t>Subcontractors/ Suppliers</t>
  </si>
  <si>
    <t>Planning Complete</t>
  </si>
  <si>
    <t>– Response planning complete</t>
  </si>
  <si>
    <t>Controlling</t>
  </si>
  <si>
    <t>Funding/ Financing</t>
  </si>
  <si>
    <t>Traffic Control</t>
  </si>
  <si>
    <t>Political Stakeholders</t>
  </si>
  <si>
    <t>Materials</t>
  </si>
  <si>
    <t>ITS</t>
  </si>
  <si>
    <t>Triggered</t>
  </si>
  <si>
    <t>– Risk trigger has occurred and threat has been realized</t>
  </si>
  <si>
    <t>Communications</t>
  </si>
  <si>
    <t>Prioritization</t>
  </si>
  <si>
    <t>Geotechnical</t>
  </si>
  <si>
    <t>Funding / Cost</t>
  </si>
  <si>
    <t>Public Stakeholders</t>
  </si>
  <si>
    <t>Tolling</t>
  </si>
  <si>
    <t>Resolved</t>
  </si>
  <si>
    <t>– Realized risk has been contained</t>
  </si>
  <si>
    <t>Policy</t>
  </si>
  <si>
    <t>Survey</t>
  </si>
  <si>
    <t>Other Agencies</t>
  </si>
  <si>
    <t>Phasing</t>
  </si>
  <si>
    <t>Retired</t>
  </si>
  <si>
    <t>– Identified risk no longer requires active monitoring (e.g. risk trigger has passed)</t>
  </si>
  <si>
    <t>Roadway</t>
  </si>
  <si>
    <t>Legislative/ Legal</t>
  </si>
  <si>
    <t>Performance/ Reliability</t>
  </si>
  <si>
    <t>Routine Maintenance</t>
  </si>
  <si>
    <t>Grading</t>
  </si>
  <si>
    <t>Market Conditions</t>
  </si>
  <si>
    <t>Complexity and Interface</t>
  </si>
  <si>
    <t>Other</t>
  </si>
  <si>
    <t>Aesthetics</t>
  </si>
  <si>
    <t>Competition</t>
  </si>
  <si>
    <t>Signing/ Lighting/ Signals</t>
  </si>
  <si>
    <t>Bike Pedestrian</t>
  </si>
  <si>
    <t>Column B</t>
  </si>
  <si>
    <t>Column E</t>
  </si>
  <si>
    <t>Column V</t>
  </si>
  <si>
    <t>Column F</t>
  </si>
  <si>
    <t>Column W</t>
  </si>
  <si>
    <t>Column D</t>
  </si>
  <si>
    <t>Risk Type</t>
  </si>
  <si>
    <t>Urgency</t>
  </si>
  <si>
    <t>Risk/Issue</t>
  </si>
  <si>
    <t>Project</t>
  </si>
  <si>
    <t>Not Started</t>
  </si>
  <si>
    <t>Program</t>
  </si>
  <si>
    <t>ROW-Utilities</t>
  </si>
  <si>
    <t>Both</t>
  </si>
  <si>
    <t>Maintenance</t>
  </si>
  <si>
    <t>Project Phases (note, some will be in both camps)</t>
  </si>
  <si>
    <t>Planning/ Preliminary Engineering</t>
  </si>
  <si>
    <t>Program/ Procurement</t>
  </si>
  <si>
    <t>Design &amp; Construction</t>
  </si>
  <si>
    <t>Operations &amp; Maintenance</t>
  </si>
  <si>
    <t>WBS Tier 1 (Risk Category)  Note some will cross phases</t>
  </si>
  <si>
    <t>R/W-Utilities-RR</t>
  </si>
  <si>
    <t>Hydraulics</t>
  </si>
  <si>
    <t>Bridge</t>
  </si>
  <si>
    <t>Cultural Resources</t>
  </si>
  <si>
    <t>Examples</t>
  </si>
  <si>
    <t>NEPA documents</t>
  </si>
  <si>
    <t>Staffing</t>
  </si>
  <si>
    <t>Other agencies</t>
  </si>
  <si>
    <t>Permitting</t>
  </si>
  <si>
    <t>Work windows</t>
  </si>
  <si>
    <t>Environmental permitting</t>
  </si>
  <si>
    <t>Traffic control &amp; phasing</t>
  </si>
  <si>
    <t>Haz. Mat.</t>
  </si>
  <si>
    <t>Stormwater</t>
  </si>
  <si>
    <t>Noise mitigation</t>
  </si>
  <si>
    <t>Archaeological/ cultural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</si>
</sst>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
    <numFmt numFmtId="165" formatCode="mm/dd/yy"/>
    <numFmt numFmtId="166" formatCode="_(&quot;$&quot;* #,##0_);_(&quot;$&quot;* \(#,##0\);_(&quot;$&quot;* &quot;-&quot;??_);_(@_)"/>
  </numFmts>
  <fonts count="26" x14ac:knownFonts="1">
    <font>
      <sz val="11"/>
      <color theme="1"/>
      <name val="Calibri"/>
      <scheme val="minor"/>
    </font>
    <font>
      <b/>
      <sz val="12"/>
      <color theme="1"/>
      <name val="Arial"/>
    </font>
    <font>
      <sz val="11"/>
      <name val="Calibri"/>
    </font>
    <font>
      <sz val="12"/>
      <color theme="1"/>
      <name val="Arial"/>
    </font>
    <font>
      <b/>
      <sz val="14"/>
      <color theme="1"/>
      <name val="Arial"/>
    </font>
    <font>
      <sz val="10"/>
      <color theme="1"/>
      <name val="Arial"/>
    </font>
    <font>
      <sz val="11"/>
      <color theme="1"/>
      <name val="Calibri"/>
    </font>
    <font>
      <sz val="16"/>
      <color theme="1"/>
      <name val="Calibri"/>
    </font>
    <font>
      <sz val="10"/>
      <color theme="1"/>
      <name val="Calibri"/>
    </font>
    <font>
      <i/>
      <sz val="11"/>
      <color theme="1"/>
      <name val="Arial"/>
    </font>
    <font>
      <sz val="11"/>
      <color theme="1"/>
      <name val="Arial"/>
    </font>
    <font>
      <b/>
      <sz val="11"/>
      <color theme="1"/>
      <name val="Arial"/>
    </font>
    <font>
      <u/>
      <sz val="11"/>
      <color theme="1"/>
      <name val="Arial"/>
    </font>
    <font>
      <u/>
      <sz val="11"/>
      <color theme="1"/>
      <name val="Arial"/>
    </font>
    <font>
      <b/>
      <sz val="11"/>
      <color theme="1"/>
      <name val="Calibri"/>
    </font>
    <font>
      <sz val="11"/>
      <color rgb="FF000000"/>
      <name val="Calibri"/>
    </font>
    <font>
      <sz val="11"/>
      <color theme="0"/>
      <name val="Calibri"/>
    </font>
    <font>
      <sz val="11"/>
      <color theme="1"/>
      <name val="Calibri"/>
    </font>
    <font>
      <b/>
      <vertAlign val="superscript"/>
      <sz val="8"/>
      <color theme="1"/>
      <name val="Calibri"/>
    </font>
    <font>
      <sz val="8"/>
      <color theme="1"/>
      <name val="Arial"/>
    </font>
    <font>
      <sz val="8"/>
      <color theme="0"/>
      <name val="Arial"/>
    </font>
    <font>
      <b/>
      <u/>
      <sz val="12"/>
      <color theme="1"/>
      <name val="Arial"/>
    </font>
    <font>
      <b/>
      <sz val="12"/>
      <color theme="0"/>
      <name val="Arial"/>
    </font>
    <font>
      <b/>
      <u/>
      <sz val="11"/>
      <color rgb="FF0000FF"/>
      <name val="Arial"/>
    </font>
    <font>
      <b/>
      <sz val="11"/>
      <color rgb="FF0000FF"/>
      <name val="Arial"/>
    </font>
    <font>
      <b/>
      <u/>
      <sz val="11"/>
      <color theme="1"/>
      <name val="Arial"/>
    </font>
  </fonts>
  <fills count="16">
    <fill>
      <patternFill patternType="none"/>
    </fill>
    <fill>
      <patternFill patternType="gray125"/>
    </fill>
    <fill>
      <patternFill patternType="solid">
        <fgColor rgb="FFBFBFBF"/>
        <bgColor rgb="FFBFBFBF"/>
      </patternFill>
    </fill>
    <fill>
      <patternFill patternType="solid">
        <fgColor theme="0"/>
        <bgColor theme="0"/>
      </patternFill>
    </fill>
    <fill>
      <patternFill patternType="solid">
        <fgColor rgb="FFDAEEF3"/>
        <bgColor rgb="FFDAEEF3"/>
      </patternFill>
    </fill>
    <fill>
      <patternFill patternType="solid">
        <fgColor rgb="FFB8CCE4"/>
        <bgColor rgb="FFB8CCE4"/>
      </patternFill>
    </fill>
    <fill>
      <patternFill patternType="solid">
        <fgColor rgb="FF92CDDC"/>
        <bgColor rgb="FF92CDDC"/>
      </patternFill>
    </fill>
    <fill>
      <patternFill patternType="solid">
        <fgColor rgb="FF8DB3E2"/>
        <bgColor rgb="FF8DB3E2"/>
      </patternFill>
    </fill>
    <fill>
      <patternFill patternType="solid">
        <fgColor rgb="FF548DD4"/>
        <bgColor rgb="FF548DD4"/>
      </patternFill>
    </fill>
    <fill>
      <patternFill patternType="solid">
        <fgColor theme="1"/>
        <bgColor theme="1"/>
      </patternFill>
    </fill>
    <fill>
      <patternFill patternType="solid">
        <fgColor rgb="FFD6E3BC"/>
        <bgColor rgb="FFD6E3BC"/>
      </patternFill>
    </fill>
    <fill>
      <patternFill patternType="solid">
        <fgColor rgb="FFFFFF99"/>
        <bgColor rgb="FFFFFF99"/>
      </patternFill>
    </fill>
    <fill>
      <patternFill patternType="solid">
        <fgColor rgb="FFFBD4B4"/>
        <bgColor rgb="FFFBD4B4"/>
      </patternFill>
    </fill>
    <fill>
      <patternFill patternType="solid">
        <fgColor rgb="FFFABF8F"/>
        <bgColor rgb="FFFABF8F"/>
      </patternFill>
    </fill>
    <fill>
      <patternFill patternType="solid">
        <fgColor rgb="FFD99594"/>
        <bgColor rgb="FFD99594"/>
      </patternFill>
    </fill>
    <fill>
      <patternFill patternType="solid">
        <fgColor rgb="FFC6D9F0"/>
        <bgColor rgb="FFC6D9F0"/>
      </patternFill>
    </fill>
  </fills>
  <borders count="5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top/>
      <bottom/>
      <diagonal/>
    </border>
    <border>
      <left style="medium">
        <color rgb="FF000000"/>
      </left>
      <right style="medium">
        <color rgb="FF000000"/>
      </right>
      <top/>
      <bottom/>
      <diagonal/>
    </border>
    <border>
      <left style="medium">
        <color rgb="FF000000"/>
      </left>
      <right/>
      <top/>
      <bottom/>
      <diagonal/>
    </border>
    <border>
      <left/>
      <right style="medium">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bottom style="medium">
        <color rgb="FF000000"/>
      </bottom>
      <diagonal/>
    </border>
    <border>
      <left style="medium">
        <color rgb="FF000000"/>
      </left>
      <right/>
      <top style="medium">
        <color rgb="FF000000"/>
      </top>
      <bottom style="double">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double">
        <color rgb="FF000000"/>
      </top>
      <bottom style="double">
        <color rgb="FF000000"/>
      </bottom>
      <diagonal/>
    </border>
    <border>
      <left style="thin">
        <color rgb="FF000000"/>
      </left>
      <right style="thin">
        <color rgb="FF000000"/>
      </right>
      <top style="double">
        <color rgb="FF000000"/>
      </top>
      <bottom style="hair">
        <color rgb="FF000000"/>
      </bottom>
      <diagonal/>
    </border>
    <border>
      <left style="medium">
        <color rgb="FF000000"/>
      </left>
      <right/>
      <top style="double">
        <color rgb="FF000000"/>
      </top>
      <bottom style="thin">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s>
  <cellStyleXfs count="1">
    <xf numFmtId="0" fontId="0" fillId="0" borderId="0"/>
  </cellStyleXfs>
  <cellXfs count="228">
    <xf numFmtId="0" fontId="0" fillId="0" borderId="0" xfId="0"/>
    <xf numFmtId="0" fontId="1" fillId="2" borderId="4" xfId="0" applyFont="1" applyFill="1" applyBorder="1" applyAlignment="1">
      <alignment vertical="center"/>
    </xf>
    <xf numFmtId="0" fontId="1" fillId="0" borderId="0" xfId="0" applyFont="1" applyAlignment="1">
      <alignment vertical="center"/>
    </xf>
    <xf numFmtId="0" fontId="3" fillId="2" borderId="4"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4" xfId="0" applyFont="1" applyFill="1" applyBorder="1" applyAlignment="1">
      <alignment vertical="center"/>
    </xf>
    <xf numFmtId="0" fontId="3" fillId="2" borderId="7" xfId="0" applyFont="1" applyFill="1" applyBorder="1" applyAlignment="1">
      <alignment horizontal="center" vertical="center"/>
    </xf>
    <xf numFmtId="0" fontId="3" fillId="2" borderId="6" xfId="0" applyFont="1" applyFill="1" applyBorder="1" applyAlignment="1">
      <alignment vertical="center"/>
    </xf>
    <xf numFmtId="0" fontId="3" fillId="2" borderId="6" xfId="0" applyFont="1" applyFill="1" applyBorder="1" applyAlignment="1">
      <alignment horizontal="center" vertical="center" textRotation="90"/>
    </xf>
    <xf numFmtId="0" fontId="3" fillId="0" borderId="0" xfId="0" applyFont="1" applyAlignment="1">
      <alignment vertical="center"/>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textRotation="90"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textRotation="90" wrapText="1"/>
    </xf>
    <xf numFmtId="0" fontId="1" fillId="2" borderId="11" xfId="0" applyFont="1" applyFill="1" applyBorder="1" applyAlignment="1">
      <alignment horizontal="center" vertical="center" textRotation="90" wrapText="1"/>
    </xf>
    <xf numFmtId="0" fontId="1" fillId="2" borderId="12" xfId="0" applyFont="1" applyFill="1" applyBorder="1" applyAlignment="1">
      <alignment horizontal="center" vertical="center" textRotation="90" wrapText="1"/>
    </xf>
    <xf numFmtId="0" fontId="1" fillId="2" borderId="13" xfId="0" applyFont="1" applyFill="1" applyBorder="1" applyAlignment="1">
      <alignment horizontal="center" vertical="center" textRotation="90" wrapText="1"/>
    </xf>
    <xf numFmtId="0" fontId="1" fillId="2" borderId="11" xfId="0" applyFont="1" applyFill="1" applyBorder="1" applyAlignment="1">
      <alignment horizontal="center" vertical="center" wrapText="1"/>
    </xf>
    <xf numFmtId="0" fontId="1" fillId="2" borderId="8" xfId="0" applyFont="1" applyFill="1" applyBorder="1" applyAlignment="1">
      <alignment horizontal="center" vertical="center" textRotation="90"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4" fillId="0" borderId="0" xfId="0" applyFont="1" applyAlignment="1">
      <alignment horizontal="center" vertical="center" wrapText="1"/>
    </xf>
    <xf numFmtId="0" fontId="5" fillId="0" borderId="15" xfId="0" applyFont="1" applyBorder="1" applyAlignment="1">
      <alignment horizontal="center" vertical="center" wrapText="1"/>
    </xf>
    <xf numFmtId="49" fontId="5" fillId="0" borderId="15" xfId="0" applyNumberFormat="1" applyFont="1" applyBorder="1" applyAlignment="1">
      <alignment horizontal="center" vertical="center" textRotation="90" wrapText="1"/>
    </xf>
    <xf numFmtId="49" fontId="5" fillId="0" borderId="15" xfId="0" applyNumberFormat="1" applyFont="1" applyBorder="1" applyAlignment="1">
      <alignment horizontal="center" vertical="center" wrapText="1"/>
    </xf>
    <xf numFmtId="49" fontId="5" fillId="0" borderId="15" xfId="0" applyNumberFormat="1" applyFont="1" applyBorder="1" applyAlignment="1">
      <alignment horizontal="left" vertical="center" wrapText="1"/>
    </xf>
    <xf numFmtId="49" fontId="5" fillId="0" borderId="15" xfId="0" quotePrefix="1" applyNumberFormat="1" applyFont="1" applyBorder="1" applyAlignment="1">
      <alignment vertical="center" wrapText="1"/>
    </xf>
    <xf numFmtId="0" fontId="5" fillId="0" borderId="15" xfId="0" applyFont="1" applyBorder="1" applyAlignment="1">
      <alignment horizontal="center" vertical="center"/>
    </xf>
    <xf numFmtId="9" fontId="5" fillId="0" borderId="15" xfId="0" applyNumberFormat="1" applyFont="1" applyBorder="1" applyAlignment="1">
      <alignment horizontal="center" vertical="center"/>
    </xf>
    <xf numFmtId="0" fontId="3" fillId="0" borderId="15" xfId="0" applyFont="1" applyBorder="1" applyAlignment="1">
      <alignment horizontal="center" vertical="center" textRotation="90" wrapText="1"/>
    </xf>
    <xf numFmtId="8" fontId="3" fillId="0" borderId="16" xfId="0" applyNumberFormat="1" applyFont="1" applyBorder="1" applyAlignment="1">
      <alignment horizontal="center" vertical="center" textRotation="90" wrapText="1"/>
    </xf>
    <xf numFmtId="0" fontId="3" fillId="0" borderId="17" xfId="0" applyFont="1" applyBorder="1" applyAlignment="1">
      <alignment horizontal="center" vertical="center" textRotation="90" wrapText="1"/>
    </xf>
    <xf numFmtId="0" fontId="3" fillId="0" borderId="15" xfId="0" applyFont="1" applyBorder="1" applyAlignment="1">
      <alignment horizontal="center" vertical="center" wrapText="1"/>
    </xf>
    <xf numFmtId="0" fontId="5" fillId="0" borderId="15" xfId="0" applyFont="1" applyBorder="1"/>
    <xf numFmtId="0" fontId="6" fillId="0" borderId="0" xfId="0" applyFont="1" applyAlignment="1">
      <alignment vertical="center"/>
    </xf>
    <xf numFmtId="8" fontId="3" fillId="0" borderId="15" xfId="0" applyNumberFormat="1" applyFont="1" applyBorder="1" applyAlignment="1">
      <alignment horizontal="center" vertical="center" wrapText="1"/>
    </xf>
    <xf numFmtId="49" fontId="5" fillId="0" borderId="15" xfId="0" applyNumberFormat="1" applyFont="1" applyBorder="1" applyAlignment="1">
      <alignment vertical="center" wrapText="1"/>
    </xf>
    <xf numFmtId="164" fontId="5" fillId="0" borderId="15" xfId="0" applyNumberFormat="1" applyFont="1" applyBorder="1" applyAlignment="1">
      <alignment horizontal="center" vertical="center" textRotation="90" wrapText="1"/>
    </xf>
    <xf numFmtId="165" fontId="5" fillId="0" borderId="15" xfId="0" applyNumberFormat="1" applyFont="1" applyBorder="1" applyAlignment="1">
      <alignment horizontal="center" vertical="center" wrapText="1"/>
    </xf>
    <xf numFmtId="0" fontId="5" fillId="3" borderId="15" xfId="0" applyFont="1" applyFill="1" applyBorder="1" applyAlignment="1">
      <alignment horizontal="center" vertical="center"/>
    </xf>
    <xf numFmtId="0" fontId="3" fillId="0" borderId="16" xfId="0" applyFont="1" applyBorder="1" applyAlignment="1">
      <alignment horizontal="center" vertical="center" textRotation="90" wrapText="1"/>
    </xf>
    <xf numFmtId="0" fontId="6" fillId="0" borderId="0" xfId="0" applyFont="1" applyAlignment="1">
      <alignment horizontal="center" vertical="center"/>
    </xf>
    <xf numFmtId="0" fontId="6" fillId="0" borderId="0" xfId="0" applyFont="1" applyAlignment="1">
      <alignment horizontal="center" vertical="center" wrapText="1"/>
    </xf>
    <xf numFmtId="0" fontId="6" fillId="0" borderId="0" xfId="0" applyFont="1" applyAlignment="1">
      <alignment vertical="center" wrapText="1"/>
    </xf>
    <xf numFmtId="0" fontId="7" fillId="0" borderId="0" xfId="0" applyFont="1" applyAlignment="1">
      <alignment vertical="center" wrapText="1"/>
    </xf>
    <xf numFmtId="0" fontId="6" fillId="0" borderId="18" xfId="0" applyFont="1" applyBorder="1" applyAlignment="1">
      <alignment horizontal="center" vertical="center"/>
    </xf>
    <xf numFmtId="0" fontId="6" fillId="0" borderId="0" xfId="0" applyFont="1" applyAlignment="1">
      <alignment horizontal="center" textRotation="90"/>
    </xf>
    <xf numFmtId="0" fontId="8" fillId="0" borderId="0" xfId="0" applyFont="1" applyAlignment="1">
      <alignment horizontal="center" vertical="center"/>
    </xf>
    <xf numFmtId="0" fontId="8" fillId="0" borderId="0" xfId="0" applyFont="1" applyAlignment="1">
      <alignment vertical="center" wrapText="1"/>
    </xf>
    <xf numFmtId="0" fontId="8" fillId="0" borderId="0" xfId="0" applyFont="1" applyAlignment="1">
      <alignment horizontal="center" vertical="center" textRotation="90"/>
    </xf>
    <xf numFmtId="0" fontId="10" fillId="0" borderId="21" xfId="0" applyFont="1" applyBorder="1" applyAlignment="1">
      <alignment vertical="center"/>
    </xf>
    <xf numFmtId="49" fontId="10" fillId="0" borderId="0" xfId="0" applyNumberFormat="1" applyFont="1" applyAlignment="1">
      <alignment vertical="center" wrapText="1"/>
    </xf>
    <xf numFmtId="0" fontId="10" fillId="0" borderId="0" xfId="0" applyFont="1"/>
    <xf numFmtId="0" fontId="10" fillId="0" borderId="24" xfId="0" applyFont="1" applyBorder="1" applyAlignment="1">
      <alignment vertical="center"/>
    </xf>
    <xf numFmtId="49" fontId="10" fillId="0" borderId="0" xfId="0" applyNumberFormat="1" applyFont="1" applyAlignment="1">
      <alignment horizontal="left" vertical="center" wrapText="1"/>
    </xf>
    <xf numFmtId="49" fontId="10" fillId="0" borderId="20" xfId="0" applyNumberFormat="1" applyFont="1" applyBorder="1" applyAlignment="1">
      <alignment horizontal="left" vertical="center" wrapText="1"/>
    </xf>
    <xf numFmtId="49" fontId="10" fillId="0" borderId="0" xfId="0" applyNumberFormat="1" applyFont="1"/>
    <xf numFmtId="49" fontId="9" fillId="0" borderId="15" xfId="0" applyNumberFormat="1" applyFont="1" applyBorder="1" applyAlignment="1">
      <alignment horizontal="center" vertical="center" wrapText="1"/>
    </xf>
    <xf numFmtId="0" fontId="10" fillId="0" borderId="21" xfId="0" applyFont="1" applyBorder="1" applyAlignment="1">
      <alignment horizontal="center" vertical="center"/>
    </xf>
    <xf numFmtId="49" fontId="11" fillId="0" borderId="15" xfId="0" applyNumberFormat="1" applyFont="1" applyBorder="1" applyAlignment="1">
      <alignment vertical="center" wrapText="1"/>
    </xf>
    <xf numFmtId="49" fontId="10" fillId="0" borderId="16" xfId="0" applyNumberFormat="1" applyFont="1" applyBorder="1" applyAlignment="1">
      <alignment vertical="center" wrapText="1"/>
    </xf>
    <xf numFmtId="49" fontId="10" fillId="0" borderId="25" xfId="0" applyNumberFormat="1" applyFont="1" applyBorder="1" applyAlignment="1">
      <alignment vertical="center" wrapText="1"/>
    </xf>
    <xf numFmtId="49" fontId="9" fillId="0" borderId="15" xfId="0" applyNumberFormat="1" applyFont="1" applyBorder="1" applyAlignment="1">
      <alignment horizontal="left" vertical="center"/>
    </xf>
    <xf numFmtId="49" fontId="10" fillId="0" borderId="16" xfId="0" quotePrefix="1" applyNumberFormat="1" applyFont="1" applyBorder="1" applyAlignment="1">
      <alignment vertical="center" wrapText="1"/>
    </xf>
    <xf numFmtId="49" fontId="10" fillId="3" borderId="26" xfId="0" applyNumberFormat="1" applyFont="1" applyFill="1" applyBorder="1" applyAlignment="1">
      <alignment vertical="center" wrapText="1"/>
    </xf>
    <xf numFmtId="49" fontId="10" fillId="3" borderId="27" xfId="0" applyNumberFormat="1" applyFont="1" applyFill="1" applyBorder="1" applyAlignment="1">
      <alignment vertical="center" wrapText="1"/>
    </xf>
    <xf numFmtId="49" fontId="10" fillId="3" borderId="27" xfId="0" applyNumberFormat="1" applyFont="1" applyFill="1" applyBorder="1" applyAlignment="1">
      <alignment horizontal="left" vertical="center" wrapText="1"/>
    </xf>
    <xf numFmtId="49" fontId="10" fillId="0" borderId="15" xfId="0" applyNumberFormat="1" applyFont="1" applyBorder="1" applyAlignment="1">
      <alignment vertical="center" wrapText="1"/>
    </xf>
    <xf numFmtId="49" fontId="12" fillId="0" borderId="15" xfId="0" applyNumberFormat="1" applyFont="1" applyBorder="1" applyAlignment="1">
      <alignment vertical="center"/>
    </xf>
    <xf numFmtId="49" fontId="13" fillId="0" borderId="16" xfId="0" applyNumberFormat="1" applyFont="1" applyBorder="1" applyAlignment="1">
      <alignment vertical="center" wrapText="1"/>
    </xf>
    <xf numFmtId="0" fontId="14" fillId="0" borderId="24" xfId="0" applyFont="1" applyBorder="1" applyAlignment="1">
      <alignment horizontal="center" wrapText="1"/>
    </xf>
    <xf numFmtId="0" fontId="6" fillId="0" borderId="0" xfId="0" applyFont="1" applyAlignment="1">
      <alignment wrapText="1"/>
    </xf>
    <xf numFmtId="0" fontId="14" fillId="0" borderId="15" xfId="0" applyFont="1" applyBorder="1" applyAlignment="1">
      <alignment horizontal="center" vertical="center" wrapText="1"/>
    </xf>
    <xf numFmtId="0" fontId="6" fillId="0" borderId="0" xfId="0" applyFont="1" applyAlignment="1">
      <alignment horizontal="center"/>
    </xf>
    <xf numFmtId="0" fontId="15" fillId="4" borderId="15" xfId="0" applyFont="1" applyFill="1" applyBorder="1" applyAlignment="1">
      <alignment horizontal="center" vertical="center" wrapText="1"/>
    </xf>
    <xf numFmtId="0" fontId="6" fillId="5" borderId="15" xfId="0" applyFont="1" applyFill="1" applyBorder="1" applyAlignment="1">
      <alignment horizontal="center" vertical="center" wrapText="1"/>
    </xf>
    <xf numFmtId="0" fontId="6" fillId="6" borderId="15" xfId="0" applyFont="1" applyFill="1" applyBorder="1" applyAlignment="1">
      <alignment horizontal="center" vertical="center" wrapText="1"/>
    </xf>
    <xf numFmtId="0" fontId="6" fillId="7" borderId="15" xfId="0" applyFont="1" applyFill="1" applyBorder="1" applyAlignment="1">
      <alignment horizontal="center" vertical="center" wrapText="1"/>
    </xf>
    <xf numFmtId="0" fontId="16" fillId="8" borderId="15" xfId="0" applyFont="1" applyFill="1" applyBorder="1" applyAlignment="1">
      <alignment horizontal="center" vertical="center" wrapText="1"/>
    </xf>
    <xf numFmtId="166" fontId="14" fillId="0" borderId="15" xfId="0" applyNumberFormat="1" applyFont="1" applyBorder="1" applyAlignment="1">
      <alignment horizontal="center" vertical="center" wrapText="1"/>
    </xf>
    <xf numFmtId="166" fontId="6" fillId="4" borderId="15" xfId="0" applyNumberFormat="1" applyFont="1" applyFill="1" applyBorder="1" applyAlignment="1">
      <alignment horizontal="center" vertical="center" wrapText="1"/>
    </xf>
    <xf numFmtId="166" fontId="6" fillId="5" borderId="15" xfId="0" applyNumberFormat="1" applyFont="1" applyFill="1" applyBorder="1" applyAlignment="1">
      <alignment horizontal="center" vertical="center" wrapText="1"/>
    </xf>
    <xf numFmtId="166" fontId="6" fillId="6" borderId="15" xfId="0" applyNumberFormat="1" applyFont="1" applyFill="1" applyBorder="1" applyAlignment="1">
      <alignment horizontal="center" vertical="center" wrapText="1"/>
    </xf>
    <xf numFmtId="166" fontId="6" fillId="7" borderId="15" xfId="0" applyNumberFormat="1" applyFont="1" applyFill="1" applyBorder="1" applyAlignment="1">
      <alignment horizontal="center" vertical="center" wrapText="1"/>
    </xf>
    <xf numFmtId="166" fontId="16" fillId="8" borderId="15" xfId="0" applyNumberFormat="1" applyFont="1" applyFill="1" applyBorder="1" applyAlignment="1">
      <alignment horizontal="center" vertical="center" wrapText="1"/>
    </xf>
    <xf numFmtId="0" fontId="14" fillId="0" borderId="29" xfId="0" applyFont="1" applyBorder="1" applyAlignment="1">
      <alignment horizontal="center" vertical="center" wrapText="1"/>
    </xf>
    <xf numFmtId="166" fontId="6" fillId="4" borderId="30" xfId="0" applyNumberFormat="1" applyFont="1" applyFill="1" applyBorder="1" applyAlignment="1">
      <alignment horizontal="center" vertical="center" wrapText="1"/>
    </xf>
    <xf numFmtId="166" fontId="6" fillId="5" borderId="30" xfId="0" applyNumberFormat="1" applyFont="1" applyFill="1" applyBorder="1" applyAlignment="1">
      <alignment horizontal="center" vertical="center" wrapText="1"/>
    </xf>
    <xf numFmtId="166" fontId="6" fillId="6" borderId="30" xfId="0" applyNumberFormat="1" applyFont="1" applyFill="1" applyBorder="1" applyAlignment="1">
      <alignment horizontal="center" vertical="center" wrapText="1"/>
    </xf>
    <xf numFmtId="166" fontId="6" fillId="7" borderId="30" xfId="0" applyNumberFormat="1" applyFont="1" applyFill="1" applyBorder="1" applyAlignment="1">
      <alignment horizontal="center" vertical="center" wrapText="1"/>
    </xf>
    <xf numFmtId="166" fontId="16" fillId="8" borderId="30" xfId="0" applyNumberFormat="1" applyFont="1" applyFill="1" applyBorder="1" applyAlignment="1">
      <alignment horizontal="center" vertical="center" wrapText="1"/>
    </xf>
    <xf numFmtId="0" fontId="14" fillId="0" borderId="31" xfId="0" applyFont="1" applyBorder="1" applyAlignment="1">
      <alignment horizontal="center" vertical="center" wrapText="1"/>
    </xf>
    <xf numFmtId="166" fontId="6" fillId="0" borderId="28" xfId="0" applyNumberFormat="1" applyFont="1" applyBorder="1" applyAlignment="1">
      <alignment horizontal="center" vertical="center" wrapText="1"/>
    </xf>
    <xf numFmtId="0" fontId="6" fillId="4" borderId="32" xfId="0" applyFont="1" applyFill="1" applyBorder="1" applyAlignment="1">
      <alignment horizontal="center" vertical="center" wrapText="1"/>
    </xf>
    <xf numFmtId="0" fontId="6" fillId="5" borderId="32" xfId="0" applyFont="1" applyFill="1" applyBorder="1" applyAlignment="1">
      <alignment horizontal="center" vertical="center" wrapText="1"/>
    </xf>
    <xf numFmtId="0" fontId="6" fillId="6" borderId="32" xfId="0" applyFont="1" applyFill="1" applyBorder="1" applyAlignment="1">
      <alignment horizontal="center" vertical="center" wrapText="1"/>
    </xf>
    <xf numFmtId="0" fontId="6" fillId="7" borderId="32" xfId="0" applyFont="1" applyFill="1" applyBorder="1" applyAlignment="1">
      <alignment horizontal="center" vertical="center" wrapText="1"/>
    </xf>
    <xf numFmtId="0" fontId="16" fillId="8" borderId="32" xfId="0" applyFont="1" applyFill="1" applyBorder="1" applyAlignment="1">
      <alignment horizontal="center" vertical="center" wrapText="1"/>
    </xf>
    <xf numFmtId="0" fontId="6" fillId="4" borderId="15" xfId="0" applyFont="1" applyFill="1" applyBorder="1" applyAlignment="1">
      <alignment horizontal="center" vertical="center" wrapText="1"/>
    </xf>
    <xf numFmtId="166" fontId="6" fillId="0" borderId="0" xfId="0" applyNumberFormat="1" applyFont="1" applyAlignment="1">
      <alignment horizontal="center"/>
    </xf>
    <xf numFmtId="0" fontId="14" fillId="0" borderId="15" xfId="0" applyFont="1" applyBorder="1" applyAlignment="1">
      <alignment horizontal="center" wrapText="1"/>
    </xf>
    <xf numFmtId="0" fontId="6" fillId="0" borderId="0" xfId="0" applyFont="1" applyAlignment="1">
      <alignment horizontal="left"/>
    </xf>
    <xf numFmtId="0" fontId="6" fillId="9" borderId="10" xfId="0" applyFont="1" applyFill="1" applyBorder="1" applyAlignment="1">
      <alignment horizontal="left"/>
    </xf>
    <xf numFmtId="166" fontId="6" fillId="9" borderId="10" xfId="0" applyNumberFormat="1" applyFont="1" applyFill="1" applyBorder="1" applyAlignment="1">
      <alignment horizontal="center"/>
    </xf>
    <xf numFmtId="0" fontId="6" fillId="9" borderId="10" xfId="0" applyFont="1" applyFill="1" applyBorder="1"/>
    <xf numFmtId="0" fontId="6" fillId="9" borderId="10" xfId="0" applyFont="1" applyFill="1" applyBorder="1" applyAlignment="1">
      <alignment horizontal="center"/>
    </xf>
    <xf numFmtId="0" fontId="6" fillId="0" borderId="15" xfId="0" applyFont="1" applyBorder="1" applyAlignment="1">
      <alignment horizontal="center"/>
    </xf>
    <xf numFmtId="0" fontId="6" fillId="0" borderId="15" xfId="0" applyFont="1" applyBorder="1"/>
    <xf numFmtId="0" fontId="15" fillId="10" borderId="15" xfId="0" applyFont="1" applyFill="1" applyBorder="1" applyAlignment="1">
      <alignment horizontal="center" vertical="center" wrapText="1"/>
    </xf>
    <xf numFmtId="0" fontId="6" fillId="11" borderId="15" xfId="0" applyFont="1" applyFill="1" applyBorder="1" applyAlignment="1">
      <alignment horizontal="center" vertical="center" wrapText="1"/>
    </xf>
    <xf numFmtId="0" fontId="6" fillId="12" borderId="15" xfId="0" applyFont="1" applyFill="1" applyBorder="1" applyAlignment="1">
      <alignment horizontal="center" vertical="center" wrapText="1"/>
    </xf>
    <xf numFmtId="0" fontId="6" fillId="13" borderId="15" xfId="0" applyFont="1" applyFill="1" applyBorder="1" applyAlignment="1">
      <alignment horizontal="center" vertical="center" wrapText="1"/>
    </xf>
    <xf numFmtId="0" fontId="6" fillId="14" borderId="15" xfId="0" applyFont="1" applyFill="1" applyBorder="1" applyAlignment="1">
      <alignment horizontal="center" vertical="center" wrapText="1"/>
    </xf>
    <xf numFmtId="166" fontId="6" fillId="10" borderId="15" xfId="0" applyNumberFormat="1" applyFont="1" applyFill="1" applyBorder="1" applyAlignment="1">
      <alignment horizontal="center" vertical="center" wrapText="1"/>
    </xf>
    <xf numFmtId="166" fontId="6" fillId="11" borderId="15" xfId="0" applyNumberFormat="1" applyFont="1" applyFill="1" applyBorder="1" applyAlignment="1">
      <alignment horizontal="center" vertical="center" wrapText="1"/>
    </xf>
    <xf numFmtId="166" fontId="6" fillId="12" borderId="15" xfId="0" applyNumberFormat="1" applyFont="1" applyFill="1" applyBorder="1" applyAlignment="1">
      <alignment horizontal="center" vertical="center" wrapText="1"/>
    </xf>
    <xf numFmtId="166" fontId="6" fillId="13" borderId="15" xfId="0" applyNumberFormat="1" applyFont="1" applyFill="1" applyBorder="1" applyAlignment="1">
      <alignment horizontal="center" vertical="center" wrapText="1"/>
    </xf>
    <xf numFmtId="166" fontId="6" fillId="14" borderId="15" xfId="0" applyNumberFormat="1" applyFont="1" applyFill="1" applyBorder="1" applyAlignment="1">
      <alignment horizontal="center" vertical="center" wrapText="1"/>
    </xf>
    <xf numFmtId="166" fontId="6" fillId="10" borderId="30" xfId="0" applyNumberFormat="1" applyFont="1" applyFill="1" applyBorder="1" applyAlignment="1">
      <alignment horizontal="center" vertical="center" wrapText="1"/>
    </xf>
    <xf numFmtId="166" fontId="6" fillId="11" borderId="30" xfId="0" applyNumberFormat="1" applyFont="1" applyFill="1" applyBorder="1" applyAlignment="1">
      <alignment horizontal="center" vertical="center" wrapText="1"/>
    </xf>
    <xf numFmtId="166" fontId="6" fillId="12" borderId="30" xfId="0" applyNumberFormat="1" applyFont="1" applyFill="1" applyBorder="1" applyAlignment="1">
      <alignment horizontal="center" vertical="center" wrapText="1"/>
    </xf>
    <xf numFmtId="166" fontId="6" fillId="13" borderId="30" xfId="0" applyNumberFormat="1" applyFont="1" applyFill="1" applyBorder="1" applyAlignment="1">
      <alignment horizontal="center" vertical="center" wrapText="1"/>
    </xf>
    <xf numFmtId="166" fontId="6" fillId="14" borderId="30" xfId="0" applyNumberFormat="1" applyFont="1" applyFill="1" applyBorder="1" applyAlignment="1">
      <alignment horizontal="center" vertical="center" wrapText="1"/>
    </xf>
    <xf numFmtId="0" fontId="6" fillId="10" borderId="32" xfId="0" applyFont="1" applyFill="1" applyBorder="1" applyAlignment="1">
      <alignment horizontal="center" vertical="center" wrapText="1"/>
    </xf>
    <xf numFmtId="0" fontId="6" fillId="11" borderId="32" xfId="0" applyFont="1" applyFill="1" applyBorder="1" applyAlignment="1">
      <alignment horizontal="center" vertical="center" wrapText="1"/>
    </xf>
    <xf numFmtId="0" fontId="6" fillId="12" borderId="32" xfId="0" applyFont="1" applyFill="1" applyBorder="1" applyAlignment="1">
      <alignment horizontal="center" vertical="center" wrapText="1"/>
    </xf>
    <xf numFmtId="0" fontId="6" fillId="13" borderId="32" xfId="0" applyFont="1" applyFill="1" applyBorder="1" applyAlignment="1">
      <alignment horizontal="center" vertical="center" wrapText="1"/>
    </xf>
    <xf numFmtId="0" fontId="6" fillId="14" borderId="32" xfId="0" applyFont="1" applyFill="1" applyBorder="1" applyAlignment="1">
      <alignment horizontal="center" vertical="center" wrapText="1"/>
    </xf>
    <xf numFmtId="0" fontId="6" fillId="10" borderId="15" xfId="0" applyFont="1" applyFill="1" applyBorder="1" applyAlignment="1">
      <alignment horizontal="center" vertical="center" wrapText="1"/>
    </xf>
    <xf numFmtId="0" fontId="17" fillId="0" borderId="0" xfId="0" applyFont="1"/>
    <xf numFmtId="0" fontId="18" fillId="0" borderId="15" xfId="0" applyFont="1" applyBorder="1" applyAlignment="1">
      <alignment horizontal="center" vertical="center" wrapText="1"/>
    </xf>
    <xf numFmtId="0" fontId="19" fillId="0" borderId="33" xfId="0" applyFont="1" applyBorder="1" applyAlignment="1">
      <alignment horizontal="center"/>
    </xf>
    <xf numFmtId="0" fontId="19" fillId="11" borderId="34" xfId="0" applyFont="1" applyFill="1" applyBorder="1" applyAlignment="1">
      <alignment horizontal="center"/>
    </xf>
    <xf numFmtId="0" fontId="19" fillId="12" borderId="35" xfId="0" applyFont="1" applyFill="1" applyBorder="1" applyAlignment="1">
      <alignment horizontal="center"/>
    </xf>
    <xf numFmtId="0" fontId="19" fillId="13" borderId="35" xfId="0" applyFont="1" applyFill="1" applyBorder="1" applyAlignment="1">
      <alignment horizontal="center"/>
    </xf>
    <xf numFmtId="0" fontId="19" fillId="14" borderId="35" xfId="0" applyFont="1" applyFill="1" applyBorder="1" applyAlignment="1">
      <alignment horizontal="center"/>
    </xf>
    <xf numFmtId="0" fontId="19" fillId="14" borderId="36" xfId="0" applyFont="1" applyFill="1" applyBorder="1" applyAlignment="1">
      <alignment horizontal="center"/>
    </xf>
    <xf numFmtId="0" fontId="19" fillId="0" borderId="37" xfId="0" applyFont="1" applyBorder="1" applyAlignment="1">
      <alignment horizontal="center"/>
    </xf>
    <xf numFmtId="0" fontId="19" fillId="11" borderId="27" xfId="0" applyFont="1" applyFill="1" applyBorder="1" applyAlignment="1">
      <alignment horizontal="center"/>
    </xf>
    <xf numFmtId="0" fontId="19" fillId="12" borderId="15" xfId="0" applyFont="1" applyFill="1" applyBorder="1" applyAlignment="1">
      <alignment horizontal="center"/>
    </xf>
    <xf numFmtId="0" fontId="19" fillId="13" borderId="15" xfId="0" applyFont="1" applyFill="1" applyBorder="1" applyAlignment="1">
      <alignment horizontal="center"/>
    </xf>
    <xf numFmtId="0" fontId="19" fillId="14" borderId="38" xfId="0" applyFont="1" applyFill="1" applyBorder="1" applyAlignment="1">
      <alignment horizontal="center"/>
    </xf>
    <xf numFmtId="0" fontId="19" fillId="13" borderId="38" xfId="0" applyFont="1" applyFill="1" applyBorder="1" applyAlignment="1">
      <alignment horizontal="center"/>
    </xf>
    <xf numFmtId="0" fontId="19" fillId="10" borderId="27" xfId="0" applyFont="1" applyFill="1" applyBorder="1" applyAlignment="1">
      <alignment horizontal="center"/>
    </xf>
    <xf numFmtId="0" fontId="19" fillId="11" borderId="15" xfId="0" applyFont="1" applyFill="1" applyBorder="1" applyAlignment="1">
      <alignment horizontal="center"/>
    </xf>
    <xf numFmtId="0" fontId="19" fillId="12" borderId="38" xfId="0" applyFont="1" applyFill="1" applyBorder="1" applyAlignment="1">
      <alignment horizontal="center"/>
    </xf>
    <xf numFmtId="0" fontId="19" fillId="0" borderId="39" xfId="0" applyFont="1" applyBorder="1" applyAlignment="1">
      <alignment horizontal="center"/>
    </xf>
    <xf numFmtId="0" fontId="19" fillId="10" borderId="40" xfId="0" applyFont="1" applyFill="1" applyBorder="1" applyAlignment="1">
      <alignment horizontal="center"/>
    </xf>
    <xf numFmtId="0" fontId="19" fillId="10" borderId="30" xfId="0" applyFont="1" applyFill="1" applyBorder="1" applyAlignment="1">
      <alignment horizontal="center"/>
    </xf>
    <xf numFmtId="0" fontId="19" fillId="11" borderId="30" xfId="0" applyFont="1" applyFill="1" applyBorder="1" applyAlignment="1">
      <alignment horizontal="center"/>
    </xf>
    <xf numFmtId="0" fontId="19" fillId="11" borderId="41" xfId="0" applyFont="1" applyFill="1" applyBorder="1" applyAlignment="1">
      <alignment horizontal="center"/>
    </xf>
    <xf numFmtId="0" fontId="19" fillId="0" borderId="42" xfId="0" applyFont="1" applyBorder="1" applyAlignment="1">
      <alignment horizontal="center"/>
    </xf>
    <xf numFmtId="0" fontId="19" fillId="0" borderId="43" xfId="0" applyFont="1" applyBorder="1" applyAlignment="1">
      <alignment horizontal="center"/>
    </xf>
    <xf numFmtId="0" fontId="19" fillId="0" borderId="44" xfId="0" applyFont="1" applyBorder="1" applyAlignment="1">
      <alignment horizontal="center"/>
    </xf>
    <xf numFmtId="0" fontId="19" fillId="0" borderId="45" xfId="0" applyFont="1" applyBorder="1" applyAlignment="1">
      <alignment horizontal="center"/>
    </xf>
    <xf numFmtId="0" fontId="10" fillId="0" borderId="0" xfId="0" applyFont="1" applyAlignment="1">
      <alignment horizontal="center"/>
    </xf>
    <xf numFmtId="0" fontId="19" fillId="5" borderId="34" xfId="0" applyFont="1" applyFill="1" applyBorder="1" applyAlignment="1">
      <alignment horizontal="center"/>
    </xf>
    <xf numFmtId="0" fontId="19" fillId="6" borderId="35" xfId="0" applyFont="1" applyFill="1" applyBorder="1" applyAlignment="1">
      <alignment horizontal="center"/>
    </xf>
    <xf numFmtId="0" fontId="19" fillId="7" borderId="35" xfId="0" applyFont="1" applyFill="1" applyBorder="1" applyAlignment="1">
      <alignment horizontal="center"/>
    </xf>
    <xf numFmtId="0" fontId="20" fillId="8" borderId="35" xfId="0" applyFont="1" applyFill="1" applyBorder="1" applyAlignment="1">
      <alignment horizontal="center"/>
    </xf>
    <xf numFmtId="0" fontId="20" fillId="8" borderId="36" xfId="0" applyFont="1" applyFill="1" applyBorder="1" applyAlignment="1">
      <alignment horizontal="center"/>
    </xf>
    <xf numFmtId="0" fontId="19" fillId="5" borderId="27" xfId="0" applyFont="1" applyFill="1" applyBorder="1" applyAlignment="1">
      <alignment horizontal="center"/>
    </xf>
    <xf numFmtId="0" fontId="19" fillId="6" borderId="15" xfId="0" applyFont="1" applyFill="1" applyBorder="1" applyAlignment="1">
      <alignment horizontal="center"/>
    </xf>
    <xf numFmtId="0" fontId="19" fillId="7" borderId="15" xfId="0" applyFont="1" applyFill="1" applyBorder="1" applyAlignment="1">
      <alignment horizontal="center"/>
    </xf>
    <xf numFmtId="0" fontId="20" fillId="8" borderId="38" xfId="0" applyFont="1" applyFill="1" applyBorder="1" applyAlignment="1">
      <alignment horizontal="center"/>
    </xf>
    <xf numFmtId="0" fontId="19" fillId="7" borderId="38" xfId="0" applyFont="1" applyFill="1" applyBorder="1" applyAlignment="1">
      <alignment horizontal="center"/>
    </xf>
    <xf numFmtId="0" fontId="19" fillId="4" borderId="27" xfId="0" applyFont="1" applyFill="1" applyBorder="1" applyAlignment="1">
      <alignment horizontal="center"/>
    </xf>
    <xf numFmtId="0" fontId="19" fillId="5" borderId="15" xfId="0" applyFont="1" applyFill="1" applyBorder="1" applyAlignment="1">
      <alignment horizontal="center"/>
    </xf>
    <xf numFmtId="0" fontId="19" fillId="6" borderId="38" xfId="0" applyFont="1" applyFill="1" applyBorder="1" applyAlignment="1">
      <alignment horizontal="center"/>
    </xf>
    <xf numFmtId="0" fontId="19" fillId="4" borderId="40" xfId="0" applyFont="1" applyFill="1" applyBorder="1" applyAlignment="1">
      <alignment horizontal="center"/>
    </xf>
    <xf numFmtId="0" fontId="19" fillId="4" borderId="30" xfId="0" applyFont="1" applyFill="1" applyBorder="1" applyAlignment="1">
      <alignment horizontal="center"/>
    </xf>
    <xf numFmtId="0" fontId="19" fillId="5" borderId="30" xfId="0" applyFont="1" applyFill="1" applyBorder="1" applyAlignment="1">
      <alignment horizontal="center"/>
    </xf>
    <xf numFmtId="0" fontId="19" fillId="5" borderId="41" xfId="0" applyFont="1" applyFill="1" applyBorder="1" applyAlignment="1">
      <alignment horizontal="center"/>
    </xf>
    <xf numFmtId="0" fontId="14" fillId="2" borderId="15" xfId="0" applyFont="1" applyFill="1" applyBorder="1" applyAlignment="1">
      <alignment horizontal="center" vertical="center" wrapText="1"/>
    </xf>
    <xf numFmtId="0" fontId="6" fillId="0" borderId="15" xfId="0" applyFont="1" applyBorder="1" applyAlignment="1">
      <alignment horizontal="center" vertical="center" wrapText="1"/>
    </xf>
    <xf numFmtId="0" fontId="6" fillId="0" borderId="15" xfId="0" applyFont="1" applyBorder="1" applyAlignment="1">
      <alignment vertical="center" wrapText="1"/>
    </xf>
    <xf numFmtId="0" fontId="6" fillId="0" borderId="15" xfId="0" applyFont="1" applyBorder="1" applyAlignment="1">
      <alignment horizontal="center" vertical="center"/>
    </xf>
    <xf numFmtId="0" fontId="6" fillId="0" borderId="15" xfId="0" applyFont="1" applyBorder="1" applyAlignment="1">
      <alignment vertical="center"/>
    </xf>
    <xf numFmtId="0" fontId="14" fillId="0" borderId="0" xfId="0" applyFont="1" applyAlignment="1">
      <alignment horizontal="center" vertical="center"/>
    </xf>
    <xf numFmtId="0" fontId="21" fillId="0" borderId="0" xfId="0" applyFont="1" applyAlignment="1">
      <alignment horizontal="left"/>
    </xf>
    <xf numFmtId="0" fontId="3" fillId="0" borderId="0" xfId="0" applyFont="1" applyAlignment="1">
      <alignment horizontal="left"/>
    </xf>
    <xf numFmtId="0" fontId="3" fillId="0" borderId="0" xfId="0" applyFont="1"/>
    <xf numFmtId="0" fontId="3" fillId="0" borderId="46" xfId="0" applyFont="1" applyBorder="1"/>
    <xf numFmtId="0" fontId="22" fillId="9" borderId="10" xfId="0" applyFont="1" applyFill="1" applyBorder="1"/>
    <xf numFmtId="0" fontId="5" fillId="0" borderId="0" xfId="0" applyFont="1"/>
    <xf numFmtId="0" fontId="3" fillId="0" borderId="0" xfId="0" quotePrefix="1" applyFont="1"/>
    <xf numFmtId="0" fontId="14" fillId="7" borderId="47" xfId="0" applyFont="1" applyFill="1" applyBorder="1" applyAlignment="1">
      <alignment horizontal="right" wrapText="1"/>
    </xf>
    <xf numFmtId="0" fontId="3" fillId="7" borderId="9" xfId="0" applyFont="1" applyFill="1" applyBorder="1" applyAlignment="1">
      <alignment horizontal="center" vertical="center" wrapText="1"/>
    </xf>
    <xf numFmtId="0" fontId="14" fillId="15" borderId="51" xfId="0" applyFont="1" applyFill="1" applyBorder="1" applyAlignment="1">
      <alignment horizontal="right" wrapText="1"/>
    </xf>
    <xf numFmtId="0" fontId="3" fillId="15" borderId="52" xfId="0" applyFont="1" applyFill="1" applyBorder="1" applyAlignment="1">
      <alignment horizontal="center" vertical="center" wrapText="1"/>
    </xf>
    <xf numFmtId="0" fontId="3" fillId="15" borderId="52" xfId="0" applyFont="1" applyFill="1" applyBorder="1" applyAlignment="1">
      <alignment horizontal="center" wrapText="1"/>
    </xf>
    <xf numFmtId="0" fontId="3" fillId="0" borderId="52" xfId="0" applyFont="1" applyBorder="1" applyAlignment="1">
      <alignment horizontal="center" vertical="center" wrapText="1"/>
    </xf>
    <xf numFmtId="0" fontId="14" fillId="0" borderId="53" xfId="0" applyFont="1" applyBorder="1" applyAlignment="1">
      <alignment horizontal="right" wrapText="1"/>
    </xf>
    <xf numFmtId="0" fontId="10" fillId="0" borderId="54" xfId="0" applyFont="1" applyBorder="1" applyAlignment="1">
      <alignment wrapText="1"/>
    </xf>
    <xf numFmtId="0" fontId="10" fillId="0" borderId="54" xfId="0" applyFont="1" applyBorder="1"/>
    <xf numFmtId="0" fontId="6" fillId="0" borderId="54" xfId="0" applyFont="1" applyBorder="1" applyAlignment="1">
      <alignment wrapText="1"/>
    </xf>
    <xf numFmtId="0" fontId="10" fillId="0" borderId="54" xfId="0" applyFont="1" applyBorder="1" applyAlignment="1">
      <alignment horizontal="center" wrapText="1"/>
    </xf>
    <xf numFmtId="0" fontId="6" fillId="0" borderId="54" xfId="0" applyFont="1" applyBorder="1"/>
    <xf numFmtId="0" fontId="10" fillId="0" borderId="54" xfId="0" applyFont="1" applyBorder="1" applyAlignment="1">
      <alignment horizontal="center"/>
    </xf>
    <xf numFmtId="0" fontId="10" fillId="0" borderId="54" xfId="0" applyFont="1" applyBorder="1" applyAlignment="1">
      <alignment horizontal="left"/>
    </xf>
    <xf numFmtId="0" fontId="10" fillId="0" borderId="55" xfId="0" applyFont="1" applyBorder="1"/>
    <xf numFmtId="0" fontId="10" fillId="0" borderId="55" xfId="0" applyFont="1" applyBorder="1" applyAlignment="1">
      <alignment horizontal="left"/>
    </xf>
    <xf numFmtId="0" fontId="10" fillId="0" borderId="55" xfId="0" applyFont="1" applyBorder="1" applyAlignment="1">
      <alignment horizontal="center"/>
    </xf>
    <xf numFmtId="0" fontId="14" fillId="0" borderId="0" xfId="0" applyFont="1"/>
    <xf numFmtId="0" fontId="11" fillId="0" borderId="0" xfId="0" applyFont="1"/>
    <xf numFmtId="0" fontId="1" fillId="2" borderId="5" xfId="0" applyFont="1" applyFill="1" applyBorder="1" applyAlignment="1">
      <alignment horizontal="center" vertical="center"/>
    </xf>
    <xf numFmtId="0" fontId="2" fillId="0" borderId="2" xfId="0" applyFont="1" applyBorder="1"/>
    <xf numFmtId="0" fontId="1" fillId="2" borderId="1" xfId="0" applyFont="1" applyFill="1" applyBorder="1" applyAlignment="1">
      <alignment horizontal="center" vertical="center" wrapText="1"/>
    </xf>
    <xf numFmtId="0" fontId="2" fillId="0" borderId="3" xfId="0" applyFont="1" applyBorder="1"/>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9" fillId="0" borderId="19" xfId="0" applyFont="1" applyBorder="1" applyAlignment="1">
      <alignment horizontal="left" vertical="center"/>
    </xf>
    <xf numFmtId="0" fontId="2" fillId="0" borderId="20" xfId="0" applyFont="1" applyBorder="1"/>
    <xf numFmtId="0" fontId="10" fillId="0" borderId="22" xfId="0" applyFont="1" applyBorder="1" applyAlignment="1">
      <alignment horizontal="left" vertical="center" wrapText="1"/>
    </xf>
    <xf numFmtId="0" fontId="2" fillId="0" borderId="23" xfId="0" applyFont="1" applyBorder="1"/>
    <xf numFmtId="0" fontId="10" fillId="0" borderId="19" xfId="0" applyFont="1" applyBorder="1" applyAlignment="1">
      <alignment horizontal="left" vertical="center" wrapText="1"/>
    </xf>
    <xf numFmtId="166" fontId="14" fillId="0" borderId="28" xfId="0" applyNumberFormat="1" applyFont="1" applyBorder="1" applyAlignment="1">
      <alignment horizontal="center" wrapText="1"/>
    </xf>
    <xf numFmtId="0" fontId="2" fillId="0" borderId="28" xfId="0" applyFont="1" applyBorder="1"/>
    <xf numFmtId="0" fontId="2" fillId="0" borderId="25" xfId="0" applyFont="1" applyBorder="1"/>
    <xf numFmtId="166" fontId="14" fillId="0" borderId="16" xfId="0" applyNumberFormat="1" applyFont="1" applyBorder="1" applyAlignment="1">
      <alignment horizontal="center" vertical="center" wrapText="1"/>
    </xf>
    <xf numFmtId="166" fontId="14" fillId="0" borderId="16" xfId="0" applyNumberFormat="1" applyFont="1" applyBorder="1" applyAlignment="1">
      <alignment horizontal="center" wrapText="1"/>
    </xf>
    <xf numFmtId="0" fontId="10" fillId="0" borderId="0" xfId="0" applyFont="1" applyAlignment="1">
      <alignment horizontal="center" vertical="center" textRotation="90"/>
    </xf>
    <xf numFmtId="0" fontId="0" fillId="0" borderId="0" xfId="0"/>
    <xf numFmtId="0" fontId="10" fillId="0" borderId="0" xfId="0" applyFont="1" applyAlignment="1">
      <alignment horizontal="center"/>
    </xf>
    <xf numFmtId="0" fontId="3" fillId="7" borderId="48" xfId="0" applyFont="1" applyFill="1" applyBorder="1" applyAlignment="1">
      <alignment horizontal="center" vertical="center" wrapText="1"/>
    </xf>
    <xf numFmtId="0" fontId="2" fillId="0" borderId="49" xfId="0" applyFont="1" applyBorder="1"/>
    <xf numFmtId="0" fontId="2" fillId="0" borderId="50" xfId="0" applyFont="1" applyBorder="1"/>
  </cellXfs>
  <cellStyles count="1">
    <cellStyle name="Normal" xfId="0" builtinId="0"/>
  </cellStyles>
  <dxfs count="31">
    <dxf>
      <fill>
        <patternFill patternType="solid">
          <fgColor rgb="FFD6E3BC"/>
          <bgColor rgb="FFD6E3BC"/>
        </patternFill>
      </fill>
    </dxf>
    <dxf>
      <fill>
        <patternFill patternType="solid">
          <fgColor rgb="FFFFFF99"/>
          <bgColor rgb="FFFFFF99"/>
        </patternFill>
      </fill>
    </dxf>
    <dxf>
      <fill>
        <patternFill patternType="solid">
          <fgColor rgb="FFFBD4B4"/>
          <bgColor rgb="FFFBD4B4"/>
        </patternFill>
      </fill>
    </dxf>
    <dxf>
      <fill>
        <patternFill patternType="solid">
          <fgColor rgb="FFFABF8F"/>
          <bgColor rgb="FFFABF8F"/>
        </patternFill>
      </fill>
    </dxf>
    <dxf>
      <fill>
        <patternFill patternType="solid">
          <fgColor rgb="FFD99594"/>
          <bgColor rgb="FFD99594"/>
        </patternFill>
      </fill>
    </dxf>
    <dxf>
      <font>
        <color rgb="FF9C0006"/>
      </font>
      <fill>
        <patternFill patternType="solid">
          <fgColor rgb="FFFFC7CE"/>
          <bgColor rgb="FFFFC7CE"/>
        </patternFill>
      </fill>
    </dxf>
    <dxf>
      <fill>
        <patternFill patternType="solid">
          <fgColor rgb="FFD99594"/>
          <bgColor rgb="FFD99594"/>
        </patternFill>
      </fill>
    </dxf>
    <dxf>
      <fill>
        <patternFill patternType="solid">
          <fgColor rgb="FFFABF8F"/>
          <bgColor rgb="FFFABF8F"/>
        </patternFill>
      </fill>
    </dxf>
    <dxf>
      <fill>
        <patternFill patternType="solid">
          <fgColor rgb="FFFBD4B4"/>
          <bgColor rgb="FFFBD4B4"/>
        </patternFill>
      </fill>
    </dxf>
    <dxf>
      <fill>
        <patternFill patternType="solid">
          <fgColor rgb="FFFFFF99"/>
          <bgColor rgb="FFFFFF99"/>
        </patternFill>
      </fill>
    </dxf>
    <dxf>
      <fill>
        <patternFill patternType="solid">
          <fgColor rgb="FFD6E3BC"/>
          <bgColor rgb="FFD6E3BC"/>
        </patternFill>
      </fill>
    </dxf>
    <dxf>
      <fill>
        <patternFill patternType="solid">
          <fgColor rgb="FFDAEEF3"/>
          <bgColor rgb="FFDAEEF3"/>
        </patternFill>
      </fill>
    </dxf>
    <dxf>
      <fill>
        <patternFill patternType="solid">
          <fgColor rgb="FFB8CCE4"/>
          <bgColor rgb="FFB8CCE4"/>
        </patternFill>
      </fill>
    </dxf>
    <dxf>
      <fill>
        <patternFill patternType="solid">
          <fgColor rgb="FF92CDDC"/>
          <bgColor rgb="FF92CDDC"/>
        </patternFill>
      </fill>
    </dxf>
    <dxf>
      <fill>
        <patternFill patternType="solid">
          <fgColor rgb="FF8DB3E2"/>
          <bgColor rgb="FF8DB3E2"/>
        </patternFill>
      </fill>
    </dxf>
    <dxf>
      <font>
        <color theme="0"/>
      </font>
      <fill>
        <patternFill patternType="solid">
          <fgColor rgb="FF548DD4"/>
          <bgColor rgb="FF548DD4"/>
        </patternFill>
      </fill>
    </dxf>
    <dxf>
      <fill>
        <patternFill patternType="solid">
          <fgColor rgb="FFD99594"/>
          <bgColor rgb="FFD99594"/>
        </patternFill>
      </fill>
    </dxf>
    <dxf>
      <fill>
        <patternFill patternType="solid">
          <fgColor rgb="FFFABF8F"/>
          <bgColor rgb="FFFABF8F"/>
        </patternFill>
      </fill>
    </dxf>
    <dxf>
      <fill>
        <patternFill patternType="solid">
          <fgColor rgb="FFFBD4B4"/>
          <bgColor rgb="FFFBD4B4"/>
        </patternFill>
      </fill>
    </dxf>
    <dxf>
      <fill>
        <patternFill patternType="solid">
          <fgColor rgb="FFFFFF99"/>
          <bgColor rgb="FFFFFF99"/>
        </patternFill>
      </fill>
    </dxf>
    <dxf>
      <fill>
        <patternFill patternType="solid">
          <fgColor rgb="FFD6E3BC"/>
          <bgColor rgb="FFD6E3BC"/>
        </patternFill>
      </fill>
    </dxf>
    <dxf>
      <fill>
        <patternFill patternType="solid">
          <fgColor rgb="FFDAEEF3"/>
          <bgColor rgb="FFDAEEF3"/>
        </patternFill>
      </fill>
    </dxf>
    <dxf>
      <fill>
        <patternFill patternType="solid">
          <fgColor rgb="FFB8CCE4"/>
          <bgColor rgb="FFB8CCE4"/>
        </patternFill>
      </fill>
    </dxf>
    <dxf>
      <fill>
        <patternFill patternType="solid">
          <fgColor rgb="FF92CDDC"/>
          <bgColor rgb="FF92CDDC"/>
        </patternFill>
      </fill>
    </dxf>
    <dxf>
      <fill>
        <patternFill patternType="solid">
          <fgColor rgb="FF8DB3E2"/>
          <bgColor rgb="FF8DB3E2"/>
        </patternFill>
      </fill>
    </dxf>
    <dxf>
      <font>
        <color theme="0"/>
      </font>
      <fill>
        <patternFill patternType="solid">
          <fgColor rgb="FF548DD4"/>
          <bgColor rgb="FF548DD4"/>
        </patternFill>
      </fill>
    </dxf>
    <dxf>
      <fill>
        <patternFill patternType="solid">
          <fgColor rgb="FFD99594"/>
          <bgColor rgb="FFD99594"/>
        </patternFill>
      </fill>
    </dxf>
    <dxf>
      <fill>
        <patternFill patternType="solid">
          <fgColor rgb="FFFABF8F"/>
          <bgColor rgb="FFFABF8F"/>
        </patternFill>
      </fill>
    </dxf>
    <dxf>
      <fill>
        <patternFill patternType="solid">
          <fgColor rgb="FFFBD4B4"/>
          <bgColor rgb="FFFBD4B4"/>
        </patternFill>
      </fill>
    </dxf>
    <dxf>
      <fill>
        <patternFill patternType="solid">
          <fgColor rgb="FFFFFF99"/>
          <bgColor rgb="FFFFFF99"/>
        </patternFill>
      </fill>
    </dxf>
    <dxf>
      <fill>
        <patternFill patternType="solid">
          <fgColor rgb="FFD6E3BC"/>
          <bgColor rgb="FFD6E3B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590550</xdr:colOff>
      <xdr:row>19</xdr:row>
      <xdr:rowOff>47625</xdr:rowOff>
    </xdr:from>
    <xdr:ext cx="4924425" cy="3609975"/>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1</xdr:row>
      <xdr:rowOff>0</xdr:rowOff>
    </xdr:from>
    <xdr:ext cx="4676775" cy="3705225"/>
    <xdr:pic>
      <xdr:nvPicPr>
        <xdr:cNvPr id="3" name="image2.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1</xdr:row>
      <xdr:rowOff>0</xdr:rowOff>
    </xdr:from>
    <xdr:ext cx="4886325" cy="7229475"/>
    <xdr:pic>
      <xdr:nvPicPr>
        <xdr:cNvPr id="4" name="image3.png">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AD999"/>
  <sheetViews>
    <sheetView tabSelected="1" topLeftCell="A5" workbookViewId="0">
      <selection activeCell="A20" sqref="A20"/>
    </sheetView>
  </sheetViews>
  <sheetFormatPr defaultColWidth="14.453125" defaultRowHeight="15" customHeight="1" outlineLevelCol="3" x14ac:dyDescent="0.35"/>
  <cols>
    <col min="1" max="1" width="10.7265625" customWidth="1" outlineLevel="1"/>
    <col min="2" max="2" width="17.54296875" customWidth="1" outlineLevel="1"/>
    <col min="3" max="3" width="10.7265625" hidden="1" customWidth="1" outlineLevel="1"/>
    <col min="4" max="4" width="10.7265625" customWidth="1" outlineLevel="1"/>
    <col min="5" max="5" width="10.7265625" hidden="1" customWidth="1" outlineLevel="1"/>
    <col min="6" max="6" width="34.08984375" customWidth="1"/>
    <col min="7" max="7" width="48.453125" customWidth="1"/>
    <col min="8" max="8" width="37.26953125" customWidth="1"/>
    <col min="9" max="9" width="10.453125" customWidth="1" outlineLevel="3"/>
    <col min="10" max="10" width="7.7265625" customWidth="1" outlineLevel="3"/>
    <col min="11" max="11" width="10.08984375" customWidth="1" outlineLevel="3"/>
    <col min="12" max="12" width="9" customWidth="1" outlineLevel="3"/>
    <col min="13" max="13" width="8.26953125" hidden="1" customWidth="1" outlineLevel="1"/>
    <col min="14" max="14" width="12.7265625" customWidth="1" outlineLevel="1"/>
    <col min="15" max="15" width="10.08984375" hidden="1" customWidth="1" outlineLevel="1"/>
    <col min="16" max="16" width="8.984375E-2" customWidth="1" outlineLevel="1"/>
    <col min="17" max="17" width="7.54296875" hidden="1" customWidth="1" outlineLevel="1"/>
    <col min="18" max="18" width="16.7265625" customWidth="1" outlineLevel="1"/>
    <col min="19" max="19" width="8.08984375" hidden="1" customWidth="1"/>
    <col min="20" max="20" width="11.453125" hidden="1" customWidth="1"/>
    <col min="21" max="21" width="18.08984375" customWidth="1" outlineLevel="2"/>
    <col min="22" max="22" width="9" hidden="1" customWidth="1" outlineLevel="1"/>
    <col min="23" max="23" width="36.81640625" customWidth="1" outlineLevel="2"/>
    <col min="24" max="24" width="13.26953125" customWidth="1" outlineLevel="1"/>
    <col min="25" max="25" width="33.7265625" customWidth="1" outlineLevel="1"/>
    <col min="26" max="26" width="5.7265625" customWidth="1" outlineLevel="1"/>
    <col min="27" max="27" width="18.81640625" customWidth="1" outlineLevel="1"/>
    <col min="28" max="28" width="42.7265625" customWidth="1" outlineLevel="1"/>
    <col min="29" max="30" width="8.81640625" customWidth="1"/>
  </cols>
  <sheetData>
    <row r="1" spans="1:30" ht="30" customHeight="1" x14ac:dyDescent="0.35">
      <c r="A1" s="211" t="s">
        <v>0</v>
      </c>
      <c r="B1" s="206"/>
      <c r="C1" s="206"/>
      <c r="D1" s="206"/>
      <c r="E1" s="206"/>
      <c r="F1" s="206"/>
      <c r="G1" s="206"/>
      <c r="H1" s="208"/>
      <c r="I1" s="1"/>
      <c r="J1" s="205" t="s">
        <v>1</v>
      </c>
      <c r="K1" s="206"/>
      <c r="L1" s="206"/>
      <c r="M1" s="206"/>
      <c r="N1" s="206"/>
      <c r="O1" s="206"/>
      <c r="P1" s="206"/>
      <c r="Q1" s="206"/>
      <c r="R1" s="206"/>
      <c r="S1" s="206"/>
      <c r="T1" s="206"/>
      <c r="U1" s="207" t="s">
        <v>2</v>
      </c>
      <c r="V1" s="206"/>
      <c r="W1" s="206"/>
      <c r="X1" s="206"/>
      <c r="Y1" s="208"/>
      <c r="Z1" s="207" t="s">
        <v>3</v>
      </c>
      <c r="AA1" s="206"/>
      <c r="AB1" s="208"/>
      <c r="AC1" s="2"/>
      <c r="AD1" s="2"/>
    </row>
    <row r="2" spans="1:30" ht="36.75" customHeight="1" x14ac:dyDescent="0.35">
      <c r="A2" s="3"/>
      <c r="B2" s="4"/>
      <c r="C2" s="4"/>
      <c r="D2" s="4"/>
      <c r="E2" s="4"/>
      <c r="F2" s="4"/>
      <c r="G2" s="4"/>
      <c r="H2" s="4"/>
      <c r="I2" s="209" t="s">
        <v>4</v>
      </c>
      <c r="J2" s="206"/>
      <c r="K2" s="208"/>
      <c r="L2" s="210" t="s">
        <v>5</v>
      </c>
      <c r="M2" s="206"/>
      <c r="N2" s="206"/>
      <c r="O2" s="206"/>
      <c r="P2" s="208"/>
      <c r="Q2" s="210" t="s">
        <v>6</v>
      </c>
      <c r="R2" s="206"/>
      <c r="S2" s="206"/>
      <c r="T2" s="208"/>
      <c r="U2" s="5"/>
      <c r="V2" s="6"/>
      <c r="W2" s="7"/>
      <c r="X2" s="8"/>
      <c r="Y2" s="8"/>
      <c r="Z2" s="209"/>
      <c r="AA2" s="206"/>
      <c r="AB2" s="208"/>
      <c r="AC2" s="9"/>
      <c r="AD2" s="9"/>
    </row>
    <row r="3" spans="1:30" ht="134.25" customHeight="1" x14ac:dyDescent="0.35">
      <c r="A3" s="10" t="s">
        <v>7</v>
      </c>
      <c r="B3" s="11" t="s">
        <v>8</v>
      </c>
      <c r="C3" s="11" t="s">
        <v>9</v>
      </c>
      <c r="D3" s="11" t="s">
        <v>10</v>
      </c>
      <c r="E3" s="11" t="s">
        <v>11</v>
      </c>
      <c r="F3" s="12" t="s">
        <v>12</v>
      </c>
      <c r="G3" s="12" t="s">
        <v>13</v>
      </c>
      <c r="H3" s="12" t="s">
        <v>14</v>
      </c>
      <c r="I3" s="11" t="s">
        <v>15</v>
      </c>
      <c r="J3" s="13" t="s">
        <v>16</v>
      </c>
      <c r="K3" s="14" t="s">
        <v>17</v>
      </c>
      <c r="L3" s="14" t="s">
        <v>18</v>
      </c>
      <c r="M3" s="14" t="s">
        <v>19</v>
      </c>
      <c r="N3" s="15" t="s">
        <v>20</v>
      </c>
      <c r="O3" s="14" t="s">
        <v>21</v>
      </c>
      <c r="P3" s="14" t="s">
        <v>22</v>
      </c>
      <c r="Q3" s="14" t="s">
        <v>23</v>
      </c>
      <c r="R3" s="14" t="s">
        <v>24</v>
      </c>
      <c r="S3" s="14" t="s">
        <v>25</v>
      </c>
      <c r="T3" s="14" t="s">
        <v>26</v>
      </c>
      <c r="U3" s="14" t="s">
        <v>27</v>
      </c>
      <c r="V3" s="16" t="s">
        <v>28</v>
      </c>
      <c r="W3" s="17" t="s">
        <v>29</v>
      </c>
      <c r="X3" s="18" t="s">
        <v>30</v>
      </c>
      <c r="Y3" s="10" t="s">
        <v>31</v>
      </c>
      <c r="Z3" s="11" t="s">
        <v>32</v>
      </c>
      <c r="AA3" s="19" t="s">
        <v>33</v>
      </c>
      <c r="AB3" s="20" t="s">
        <v>34</v>
      </c>
      <c r="AC3" s="21"/>
      <c r="AD3" s="21"/>
    </row>
    <row r="4" spans="1:30" ht="88.5" customHeight="1" x14ac:dyDescent="0.35">
      <c r="A4" s="22">
        <v>1</v>
      </c>
      <c r="B4" s="23" t="s">
        <v>35</v>
      </c>
      <c r="C4" s="23" t="s">
        <v>36</v>
      </c>
      <c r="D4" s="23" t="s">
        <v>37</v>
      </c>
      <c r="E4" s="23" t="s">
        <v>11</v>
      </c>
      <c r="F4" s="24" t="s">
        <v>38</v>
      </c>
      <c r="G4" s="25" t="s">
        <v>39</v>
      </c>
      <c r="H4" s="26" t="s">
        <v>40</v>
      </c>
      <c r="I4" s="27">
        <v>4</v>
      </c>
      <c r="J4" s="27">
        <v>5</v>
      </c>
      <c r="K4" s="27">
        <f t="shared" ref="K4:K20" si="0">I4*J4</f>
        <v>20</v>
      </c>
      <c r="L4" s="28">
        <v>0.6</v>
      </c>
      <c r="M4" s="29">
        <v>5</v>
      </c>
      <c r="N4" s="30"/>
      <c r="O4" s="31"/>
      <c r="P4" s="32">
        <f t="shared" ref="P4:P17" si="1">((M4+N4*2+O4)/4)*L4</f>
        <v>0.75</v>
      </c>
      <c r="Q4" s="29"/>
      <c r="R4" s="29">
        <v>4</v>
      </c>
      <c r="S4" s="29"/>
      <c r="T4" s="32">
        <f t="shared" ref="T4:T19" si="2">((Q4+R4*2+S4)/4)*L4</f>
        <v>1.2</v>
      </c>
      <c r="U4" s="33" t="s">
        <v>41</v>
      </c>
      <c r="V4" s="24" t="s">
        <v>42</v>
      </c>
      <c r="W4" s="33" t="s">
        <v>43</v>
      </c>
      <c r="X4" s="33" t="s">
        <v>44</v>
      </c>
      <c r="Y4" s="33" t="s">
        <v>45</v>
      </c>
      <c r="Z4" s="33" t="s">
        <v>46</v>
      </c>
      <c r="AA4" s="33">
        <v>46179</v>
      </c>
      <c r="AB4" s="33" t="s">
        <v>47</v>
      </c>
      <c r="AC4" s="34"/>
      <c r="AD4" s="34"/>
    </row>
    <row r="5" spans="1:30" ht="86.25" customHeight="1" x14ac:dyDescent="0.35">
      <c r="A5" s="22">
        <v>2</v>
      </c>
      <c r="B5" s="23" t="s">
        <v>48</v>
      </c>
      <c r="C5" s="23" t="s">
        <v>49</v>
      </c>
      <c r="D5" s="23" t="s">
        <v>37</v>
      </c>
      <c r="E5" s="23" t="s">
        <v>11</v>
      </c>
      <c r="F5" s="24" t="s">
        <v>50</v>
      </c>
      <c r="G5" s="25" t="s">
        <v>51</v>
      </c>
      <c r="H5" s="26" t="s">
        <v>52</v>
      </c>
      <c r="I5" s="27">
        <v>4</v>
      </c>
      <c r="J5" s="27">
        <v>5</v>
      </c>
      <c r="K5" s="27">
        <f t="shared" si="0"/>
        <v>20</v>
      </c>
      <c r="L5" s="28">
        <v>0.6</v>
      </c>
      <c r="M5" s="29"/>
      <c r="N5" s="30"/>
      <c r="O5" s="31"/>
      <c r="P5" s="32">
        <f t="shared" si="1"/>
        <v>0</v>
      </c>
      <c r="Q5" s="29"/>
      <c r="R5" s="29">
        <v>6</v>
      </c>
      <c r="S5" s="29"/>
      <c r="T5" s="32">
        <f t="shared" si="2"/>
        <v>1.7999999999999998</v>
      </c>
      <c r="U5" s="33" t="s">
        <v>41</v>
      </c>
      <c r="V5" s="24" t="s">
        <v>53</v>
      </c>
      <c r="W5" s="33" t="s">
        <v>54</v>
      </c>
      <c r="X5" s="33" t="s">
        <v>55</v>
      </c>
      <c r="Y5" s="33" t="s">
        <v>56</v>
      </c>
      <c r="Z5" s="33" t="s">
        <v>46</v>
      </c>
      <c r="AA5" s="33">
        <v>46179</v>
      </c>
      <c r="AB5" s="33" t="s">
        <v>57</v>
      </c>
      <c r="AC5" s="34"/>
      <c r="AD5" s="34"/>
    </row>
    <row r="6" spans="1:30" ht="59.25" customHeight="1" x14ac:dyDescent="0.35">
      <c r="A6" s="22">
        <v>3</v>
      </c>
      <c r="B6" s="23" t="s">
        <v>49</v>
      </c>
      <c r="C6" s="23" t="s">
        <v>60</v>
      </c>
      <c r="D6" s="23" t="s">
        <v>37</v>
      </c>
      <c r="E6" s="23" t="s">
        <v>61</v>
      </c>
      <c r="F6" s="24" t="s">
        <v>62</v>
      </c>
      <c r="G6" s="25" t="s">
        <v>63</v>
      </c>
      <c r="H6" s="25" t="s">
        <v>64</v>
      </c>
      <c r="I6" s="27">
        <v>4</v>
      </c>
      <c r="J6" s="27">
        <v>5</v>
      </c>
      <c r="K6" s="27">
        <f t="shared" si="0"/>
        <v>20</v>
      </c>
      <c r="L6" s="28">
        <v>0.6</v>
      </c>
      <c r="M6" s="29"/>
      <c r="N6" s="30"/>
      <c r="O6" s="31"/>
      <c r="P6" s="32">
        <f t="shared" si="1"/>
        <v>0</v>
      </c>
      <c r="Q6" s="29"/>
      <c r="R6" s="29">
        <v>5</v>
      </c>
      <c r="S6" s="29"/>
      <c r="T6" s="32">
        <f t="shared" si="2"/>
        <v>1.5</v>
      </c>
      <c r="U6" s="33" t="s">
        <v>41</v>
      </c>
      <c r="V6" s="24"/>
      <c r="W6" s="33" t="s">
        <v>65</v>
      </c>
      <c r="X6" s="33" t="s">
        <v>66</v>
      </c>
      <c r="Y6" s="33" t="s">
        <v>67</v>
      </c>
      <c r="Z6" s="33" t="s">
        <v>46</v>
      </c>
      <c r="AA6" s="33">
        <v>46179</v>
      </c>
      <c r="AB6" s="33" t="s">
        <v>68</v>
      </c>
      <c r="AC6" s="34"/>
      <c r="AD6" s="34"/>
    </row>
    <row r="7" spans="1:30" ht="74.25" customHeight="1" x14ac:dyDescent="0.35">
      <c r="A7" s="22">
        <v>4</v>
      </c>
      <c r="B7" s="23" t="s">
        <v>69</v>
      </c>
      <c r="C7" s="23"/>
      <c r="D7" s="23" t="s">
        <v>37</v>
      </c>
      <c r="E7" s="23"/>
      <c r="F7" s="24" t="s">
        <v>70</v>
      </c>
      <c r="G7" s="25" t="s">
        <v>71</v>
      </c>
      <c r="H7" s="25" t="s">
        <v>72</v>
      </c>
      <c r="I7" s="27">
        <v>4</v>
      </c>
      <c r="J7" s="27">
        <v>5</v>
      </c>
      <c r="K7" s="27">
        <f t="shared" si="0"/>
        <v>20</v>
      </c>
      <c r="L7" s="28">
        <v>0.6</v>
      </c>
      <c r="M7" s="29"/>
      <c r="N7" s="30"/>
      <c r="O7" s="31"/>
      <c r="P7" s="32">
        <f t="shared" si="1"/>
        <v>0</v>
      </c>
      <c r="Q7" s="29"/>
      <c r="R7" s="29">
        <v>4</v>
      </c>
      <c r="S7" s="29"/>
      <c r="T7" s="32">
        <f t="shared" si="2"/>
        <v>1.2</v>
      </c>
      <c r="U7" s="33" t="s">
        <v>41</v>
      </c>
      <c r="V7" s="24"/>
      <c r="W7" s="33" t="s">
        <v>73</v>
      </c>
      <c r="X7" s="33" t="s">
        <v>44</v>
      </c>
      <c r="Y7" s="33" t="s">
        <v>74</v>
      </c>
      <c r="Z7" s="33" t="s">
        <v>46</v>
      </c>
      <c r="AA7" s="33">
        <v>46179</v>
      </c>
      <c r="AB7" s="33" t="s">
        <v>75</v>
      </c>
      <c r="AC7" s="34"/>
    </row>
    <row r="8" spans="1:30" ht="63" customHeight="1" x14ac:dyDescent="0.35">
      <c r="A8" s="22">
        <v>5</v>
      </c>
      <c r="B8" s="23" t="s">
        <v>76</v>
      </c>
      <c r="C8" s="23"/>
      <c r="D8" s="23" t="s">
        <v>37</v>
      </c>
      <c r="E8" s="23"/>
      <c r="F8" s="24" t="s">
        <v>77</v>
      </c>
      <c r="G8" s="25" t="s">
        <v>78</v>
      </c>
      <c r="H8" s="25" t="s">
        <v>79</v>
      </c>
      <c r="I8" s="27">
        <v>4</v>
      </c>
      <c r="J8" s="27">
        <v>5</v>
      </c>
      <c r="K8" s="27">
        <f t="shared" si="0"/>
        <v>20</v>
      </c>
      <c r="L8" s="28">
        <v>0.6</v>
      </c>
      <c r="M8" s="29"/>
      <c r="N8" s="30"/>
      <c r="O8" s="31"/>
      <c r="P8" s="32">
        <f t="shared" si="1"/>
        <v>0</v>
      </c>
      <c r="Q8" s="29"/>
      <c r="R8" s="29">
        <v>3</v>
      </c>
      <c r="S8" s="29"/>
      <c r="T8" s="32">
        <f t="shared" si="2"/>
        <v>0.89999999999999991</v>
      </c>
      <c r="U8" s="33" t="s">
        <v>41</v>
      </c>
      <c r="V8" s="24"/>
      <c r="W8" s="33" t="s">
        <v>80</v>
      </c>
      <c r="X8" s="33" t="s">
        <v>66</v>
      </c>
      <c r="Y8" s="33" t="s">
        <v>81</v>
      </c>
      <c r="Z8" s="33" t="s">
        <v>46</v>
      </c>
      <c r="AA8" s="33">
        <v>46179</v>
      </c>
      <c r="AB8" s="33" t="s">
        <v>82</v>
      </c>
      <c r="AC8" s="34"/>
      <c r="AD8" s="34"/>
    </row>
    <row r="9" spans="1:30" ht="67.5" customHeight="1" x14ac:dyDescent="0.35">
      <c r="A9" s="22">
        <v>6</v>
      </c>
      <c r="B9" s="23" t="s">
        <v>36</v>
      </c>
      <c r="C9" s="23"/>
      <c r="D9" s="23" t="s">
        <v>37</v>
      </c>
      <c r="E9" s="23"/>
      <c r="F9" s="24" t="s">
        <v>83</v>
      </c>
      <c r="G9" s="25" t="s">
        <v>84</v>
      </c>
      <c r="H9" s="25" t="s">
        <v>85</v>
      </c>
      <c r="I9" s="27">
        <v>4</v>
      </c>
      <c r="J9" s="27">
        <v>5</v>
      </c>
      <c r="K9" s="27">
        <f t="shared" si="0"/>
        <v>20</v>
      </c>
      <c r="L9" s="28">
        <v>0.6</v>
      </c>
      <c r="M9" s="29"/>
      <c r="N9" s="30"/>
      <c r="O9" s="31"/>
      <c r="P9" s="32">
        <f t="shared" si="1"/>
        <v>0</v>
      </c>
      <c r="Q9" s="29"/>
      <c r="R9" s="29">
        <v>6</v>
      </c>
      <c r="S9" s="29"/>
      <c r="T9" s="32">
        <f t="shared" si="2"/>
        <v>1.7999999999999998</v>
      </c>
      <c r="U9" s="33" t="s">
        <v>41</v>
      </c>
      <c r="V9" s="24"/>
      <c r="W9" s="33" t="s">
        <v>86</v>
      </c>
      <c r="X9" s="33" t="s">
        <v>87</v>
      </c>
      <c r="Y9" s="33" t="s">
        <v>88</v>
      </c>
      <c r="Z9" s="33" t="s">
        <v>46</v>
      </c>
      <c r="AA9" s="33">
        <v>46179</v>
      </c>
      <c r="AB9" s="33" t="s">
        <v>89</v>
      </c>
      <c r="AC9" s="34"/>
      <c r="AD9" s="34"/>
    </row>
    <row r="10" spans="1:30" ht="72" customHeight="1" x14ac:dyDescent="0.35">
      <c r="A10" s="22">
        <v>7</v>
      </c>
      <c r="B10" s="23" t="s">
        <v>36</v>
      </c>
      <c r="C10" s="23"/>
      <c r="D10" s="23" t="s">
        <v>37</v>
      </c>
      <c r="E10" s="23"/>
      <c r="F10" s="24" t="s">
        <v>90</v>
      </c>
      <c r="G10" s="25" t="s">
        <v>91</v>
      </c>
      <c r="H10" s="25" t="s">
        <v>85</v>
      </c>
      <c r="I10" s="27">
        <v>4</v>
      </c>
      <c r="J10" s="27">
        <v>5</v>
      </c>
      <c r="K10" s="27">
        <f t="shared" si="0"/>
        <v>20</v>
      </c>
      <c r="L10" s="28">
        <v>0.6</v>
      </c>
      <c r="M10" s="29"/>
      <c r="N10" s="30"/>
      <c r="O10" s="31"/>
      <c r="P10" s="32">
        <f t="shared" si="1"/>
        <v>0</v>
      </c>
      <c r="Q10" s="29"/>
      <c r="R10" s="29">
        <v>2</v>
      </c>
      <c r="S10" s="29"/>
      <c r="T10" s="32">
        <f t="shared" si="2"/>
        <v>0.6</v>
      </c>
      <c r="U10" s="33" t="s">
        <v>41</v>
      </c>
      <c r="V10" s="24"/>
      <c r="W10" s="33" t="s">
        <v>92</v>
      </c>
      <c r="X10" s="33" t="s">
        <v>87</v>
      </c>
      <c r="Y10" s="33" t="s">
        <v>93</v>
      </c>
      <c r="Z10" s="33" t="s">
        <v>46</v>
      </c>
      <c r="AA10" s="33">
        <v>46179</v>
      </c>
      <c r="AB10" s="33" t="s">
        <v>94</v>
      </c>
      <c r="AC10" s="34"/>
      <c r="AD10" s="34"/>
    </row>
    <row r="11" spans="1:30" ht="67.5" customHeight="1" x14ac:dyDescent="0.35">
      <c r="A11" s="22">
        <v>8</v>
      </c>
      <c r="B11" s="23" t="s">
        <v>76</v>
      </c>
      <c r="C11" s="23"/>
      <c r="D11" s="23" t="s">
        <v>37</v>
      </c>
      <c r="E11" s="23"/>
      <c r="F11" s="24" t="s">
        <v>95</v>
      </c>
      <c r="G11" s="25" t="s">
        <v>96</v>
      </c>
      <c r="H11" s="25" t="s">
        <v>97</v>
      </c>
      <c r="I11" s="27">
        <v>4</v>
      </c>
      <c r="J11" s="27">
        <v>5</v>
      </c>
      <c r="K11" s="27">
        <f t="shared" si="0"/>
        <v>20</v>
      </c>
      <c r="L11" s="28">
        <v>0.6</v>
      </c>
      <c r="M11" s="29"/>
      <c r="N11" s="30"/>
      <c r="O11" s="31"/>
      <c r="P11" s="32">
        <f t="shared" si="1"/>
        <v>0</v>
      </c>
      <c r="Q11" s="29"/>
      <c r="R11" s="29">
        <v>4</v>
      </c>
      <c r="S11" s="29"/>
      <c r="T11" s="32">
        <f t="shared" si="2"/>
        <v>1.2</v>
      </c>
      <c r="U11" s="33" t="s">
        <v>41</v>
      </c>
      <c r="V11" s="24"/>
      <c r="W11" s="33" t="s">
        <v>98</v>
      </c>
      <c r="X11" s="33" t="s">
        <v>99</v>
      </c>
      <c r="Y11" s="33" t="s">
        <v>100</v>
      </c>
      <c r="Z11" s="33" t="s">
        <v>46</v>
      </c>
      <c r="AA11" s="33">
        <v>46179</v>
      </c>
      <c r="AB11" s="33" t="s">
        <v>101</v>
      </c>
      <c r="AC11" s="34"/>
      <c r="AD11" s="34"/>
    </row>
    <row r="12" spans="1:30" ht="71.25" customHeight="1" x14ac:dyDescent="0.35">
      <c r="A12" s="22">
        <v>9</v>
      </c>
      <c r="B12" s="23" t="s">
        <v>102</v>
      </c>
      <c r="C12" s="23"/>
      <c r="D12" s="23" t="s">
        <v>37</v>
      </c>
      <c r="E12" s="23"/>
      <c r="F12" s="24" t="s">
        <v>103</v>
      </c>
      <c r="G12" s="25" t="s">
        <v>104</v>
      </c>
      <c r="H12" s="25" t="s">
        <v>105</v>
      </c>
      <c r="I12" s="27">
        <v>4</v>
      </c>
      <c r="J12" s="27">
        <v>5</v>
      </c>
      <c r="K12" s="27">
        <f t="shared" si="0"/>
        <v>20</v>
      </c>
      <c r="L12" s="28">
        <v>0.6</v>
      </c>
      <c r="M12" s="29"/>
      <c r="N12" s="30"/>
      <c r="O12" s="31"/>
      <c r="P12" s="32">
        <f t="shared" si="1"/>
        <v>0</v>
      </c>
      <c r="Q12" s="29"/>
      <c r="R12" s="29">
        <v>0</v>
      </c>
      <c r="S12" s="29"/>
      <c r="T12" s="32">
        <f t="shared" si="2"/>
        <v>0</v>
      </c>
      <c r="U12" s="33" t="s">
        <v>41</v>
      </c>
      <c r="V12" s="24"/>
      <c r="W12" s="33" t="s">
        <v>106</v>
      </c>
      <c r="X12" s="33" t="s">
        <v>107</v>
      </c>
      <c r="Y12" s="33" t="s">
        <v>108</v>
      </c>
      <c r="Z12" s="33" t="s">
        <v>46</v>
      </c>
      <c r="AA12" s="33">
        <v>46179</v>
      </c>
      <c r="AB12" s="33" t="s">
        <v>109</v>
      </c>
      <c r="AC12" s="34"/>
      <c r="AD12" s="34"/>
    </row>
    <row r="13" spans="1:30" ht="61.5" customHeight="1" x14ac:dyDescent="0.35">
      <c r="A13" s="22">
        <v>10</v>
      </c>
      <c r="B13" s="23" t="s">
        <v>110</v>
      </c>
      <c r="C13" s="23"/>
      <c r="D13" s="23" t="s">
        <v>37</v>
      </c>
      <c r="E13" s="23"/>
      <c r="F13" s="24" t="s">
        <v>111</v>
      </c>
      <c r="G13" s="25" t="s">
        <v>112</v>
      </c>
      <c r="H13" s="25" t="s">
        <v>105</v>
      </c>
      <c r="I13" s="27">
        <v>4</v>
      </c>
      <c r="J13" s="27">
        <v>5</v>
      </c>
      <c r="K13" s="27">
        <f t="shared" si="0"/>
        <v>20</v>
      </c>
      <c r="L13" s="28">
        <v>0.6</v>
      </c>
      <c r="M13" s="29"/>
      <c r="N13" s="30"/>
      <c r="O13" s="31"/>
      <c r="P13" s="32">
        <f t="shared" si="1"/>
        <v>0</v>
      </c>
      <c r="Q13" s="29"/>
      <c r="R13" s="29">
        <v>0</v>
      </c>
      <c r="S13" s="29"/>
      <c r="T13" s="32">
        <f t="shared" si="2"/>
        <v>0</v>
      </c>
      <c r="U13" s="33" t="s">
        <v>41</v>
      </c>
      <c r="V13" s="24"/>
      <c r="W13" s="33" t="s">
        <v>113</v>
      </c>
      <c r="X13" s="33" t="s">
        <v>107</v>
      </c>
      <c r="Y13" s="33" t="s">
        <v>114</v>
      </c>
      <c r="Z13" s="33" t="s">
        <v>46</v>
      </c>
      <c r="AA13" s="33">
        <v>46179</v>
      </c>
      <c r="AB13" s="33" t="s">
        <v>115</v>
      </c>
      <c r="AC13" s="34"/>
      <c r="AD13" s="34"/>
    </row>
    <row r="14" spans="1:30" ht="71.25" customHeight="1" x14ac:dyDescent="0.35">
      <c r="A14" s="22">
        <v>11</v>
      </c>
      <c r="B14" s="23" t="s">
        <v>102</v>
      </c>
      <c r="C14" s="23"/>
      <c r="D14" s="23" t="s">
        <v>37</v>
      </c>
      <c r="E14" s="23"/>
      <c r="F14" s="24" t="s">
        <v>116</v>
      </c>
      <c r="G14" s="25" t="s">
        <v>117</v>
      </c>
      <c r="H14" s="25" t="s">
        <v>118</v>
      </c>
      <c r="I14" s="27">
        <v>4</v>
      </c>
      <c r="J14" s="27">
        <v>5</v>
      </c>
      <c r="K14" s="27">
        <f t="shared" si="0"/>
        <v>20</v>
      </c>
      <c r="L14" s="28">
        <v>0.6</v>
      </c>
      <c r="M14" s="29"/>
      <c r="N14" s="30"/>
      <c r="O14" s="31"/>
      <c r="P14" s="32">
        <f t="shared" si="1"/>
        <v>0</v>
      </c>
      <c r="Q14" s="29"/>
      <c r="R14" s="29">
        <v>6</v>
      </c>
      <c r="S14" s="29"/>
      <c r="T14" s="32">
        <f t="shared" si="2"/>
        <v>1.7999999999999998</v>
      </c>
      <c r="U14" s="33" t="s">
        <v>41</v>
      </c>
      <c r="V14" s="24"/>
      <c r="W14" s="33" t="s">
        <v>119</v>
      </c>
      <c r="X14" s="33" t="s">
        <v>59</v>
      </c>
      <c r="Y14" s="33" t="s">
        <v>120</v>
      </c>
      <c r="Z14" s="33" t="s">
        <v>46</v>
      </c>
      <c r="AA14" s="33">
        <v>46179</v>
      </c>
      <c r="AB14" s="33" t="s">
        <v>121</v>
      </c>
      <c r="AC14" s="34"/>
      <c r="AD14" s="34"/>
    </row>
    <row r="15" spans="1:30" ht="66" customHeight="1" x14ac:dyDescent="0.35">
      <c r="A15" s="22">
        <v>12</v>
      </c>
      <c r="B15" s="23" t="s">
        <v>49</v>
      </c>
      <c r="C15" s="23"/>
      <c r="D15" s="23" t="s">
        <v>37</v>
      </c>
      <c r="E15" s="23"/>
      <c r="F15" s="24" t="s">
        <v>122</v>
      </c>
      <c r="G15" s="25" t="s">
        <v>123</v>
      </c>
      <c r="H15" s="25" t="s">
        <v>124</v>
      </c>
      <c r="I15" s="27">
        <v>4</v>
      </c>
      <c r="J15" s="27">
        <v>5</v>
      </c>
      <c r="K15" s="27">
        <f t="shared" si="0"/>
        <v>20</v>
      </c>
      <c r="L15" s="28">
        <v>0.6</v>
      </c>
      <c r="M15" s="29"/>
      <c r="N15" s="30"/>
      <c r="O15" s="31"/>
      <c r="P15" s="32">
        <f t="shared" si="1"/>
        <v>0</v>
      </c>
      <c r="Q15" s="29"/>
      <c r="R15" s="29">
        <v>3</v>
      </c>
      <c r="S15" s="29"/>
      <c r="T15" s="32">
        <f t="shared" si="2"/>
        <v>0.89999999999999991</v>
      </c>
      <c r="U15" s="33" t="s">
        <v>41</v>
      </c>
      <c r="V15" s="24"/>
      <c r="W15" s="33" t="s">
        <v>125</v>
      </c>
      <c r="X15" s="33" t="s">
        <v>126</v>
      </c>
      <c r="Y15" s="33" t="s">
        <v>127</v>
      </c>
      <c r="Z15" s="33" t="s">
        <v>46</v>
      </c>
      <c r="AA15" s="33">
        <v>46179</v>
      </c>
      <c r="AB15" s="33" t="s">
        <v>128</v>
      </c>
      <c r="AC15" s="34"/>
      <c r="AD15" s="34"/>
    </row>
    <row r="16" spans="1:30" ht="60" customHeight="1" x14ac:dyDescent="0.35">
      <c r="A16" s="22">
        <v>13</v>
      </c>
      <c r="B16" s="23" t="s">
        <v>69</v>
      </c>
      <c r="C16" s="23"/>
      <c r="D16" s="23" t="s">
        <v>37</v>
      </c>
      <c r="E16" s="23"/>
      <c r="F16" s="24" t="s">
        <v>129</v>
      </c>
      <c r="G16" s="25" t="s">
        <v>130</v>
      </c>
      <c r="H16" s="25" t="s">
        <v>131</v>
      </c>
      <c r="I16" s="27">
        <v>4</v>
      </c>
      <c r="J16" s="27">
        <v>5</v>
      </c>
      <c r="K16" s="27">
        <f t="shared" si="0"/>
        <v>20</v>
      </c>
      <c r="L16" s="28">
        <v>0.6</v>
      </c>
      <c r="M16" s="29"/>
      <c r="N16" s="30"/>
      <c r="O16" s="31"/>
      <c r="P16" s="32">
        <f t="shared" si="1"/>
        <v>0</v>
      </c>
      <c r="Q16" s="29"/>
      <c r="R16" s="29">
        <v>0</v>
      </c>
      <c r="S16" s="29"/>
      <c r="T16" s="32">
        <f t="shared" si="2"/>
        <v>0</v>
      </c>
      <c r="U16" s="33" t="s">
        <v>41</v>
      </c>
      <c r="V16" s="24"/>
      <c r="W16" s="33" t="s">
        <v>132</v>
      </c>
      <c r="X16" s="33" t="s">
        <v>133</v>
      </c>
      <c r="Y16" s="33" t="s">
        <v>134</v>
      </c>
      <c r="Z16" s="33" t="s">
        <v>46</v>
      </c>
      <c r="AA16" s="33">
        <v>46179</v>
      </c>
      <c r="AB16" s="33" t="s">
        <v>135</v>
      </c>
      <c r="AC16" s="34"/>
      <c r="AD16" s="34"/>
    </row>
    <row r="17" spans="1:30" ht="66" customHeight="1" x14ac:dyDescent="0.35">
      <c r="A17" s="22">
        <v>14</v>
      </c>
      <c r="B17" s="23" t="s">
        <v>136</v>
      </c>
      <c r="C17" s="23"/>
      <c r="D17" s="23" t="s">
        <v>37</v>
      </c>
      <c r="E17" s="23"/>
      <c r="F17" s="24" t="s">
        <v>137</v>
      </c>
      <c r="G17" s="25" t="s">
        <v>138</v>
      </c>
      <c r="H17" s="25" t="s">
        <v>139</v>
      </c>
      <c r="I17" s="27">
        <v>4</v>
      </c>
      <c r="J17" s="27">
        <v>5</v>
      </c>
      <c r="K17" s="27">
        <f t="shared" si="0"/>
        <v>20</v>
      </c>
      <c r="L17" s="28">
        <v>0.6</v>
      </c>
      <c r="M17" s="29"/>
      <c r="N17" s="30"/>
      <c r="O17" s="31"/>
      <c r="P17" s="32">
        <f t="shared" si="1"/>
        <v>0</v>
      </c>
      <c r="Q17" s="29"/>
      <c r="R17" s="29">
        <v>4</v>
      </c>
      <c r="S17" s="29"/>
      <c r="T17" s="32">
        <f t="shared" si="2"/>
        <v>1.2</v>
      </c>
      <c r="U17" s="33" t="s">
        <v>41</v>
      </c>
      <c r="V17" s="24"/>
      <c r="W17" s="33" t="s">
        <v>140</v>
      </c>
      <c r="X17" s="33" t="s">
        <v>59</v>
      </c>
      <c r="Y17" s="33" t="s">
        <v>141</v>
      </c>
      <c r="Z17" s="33" t="s">
        <v>46</v>
      </c>
      <c r="AA17" s="33">
        <v>46179</v>
      </c>
      <c r="AB17" s="33" t="s">
        <v>142</v>
      </c>
      <c r="AC17" s="34"/>
      <c r="AD17" s="34"/>
    </row>
    <row r="18" spans="1:30" ht="94.5" customHeight="1" x14ac:dyDescent="0.35">
      <c r="A18" s="22">
        <v>15</v>
      </c>
      <c r="B18" s="23" t="s">
        <v>102</v>
      </c>
      <c r="C18" s="23"/>
      <c r="D18" s="23" t="s">
        <v>143</v>
      </c>
      <c r="E18" s="23"/>
      <c r="F18" s="24" t="s">
        <v>144</v>
      </c>
      <c r="G18" s="25" t="s">
        <v>145</v>
      </c>
      <c r="H18" s="25" t="s">
        <v>146</v>
      </c>
      <c r="I18" s="27">
        <v>4</v>
      </c>
      <c r="J18" s="27">
        <v>5</v>
      </c>
      <c r="K18" s="27">
        <f t="shared" si="0"/>
        <v>20</v>
      </c>
      <c r="L18" s="28">
        <v>0.6</v>
      </c>
      <c r="M18" s="29"/>
      <c r="N18" s="30"/>
      <c r="O18" s="31"/>
      <c r="P18" s="35">
        <f t="array" ref="P18">((M1+N4:N198+N18*2+O18)/4)*L18</f>
        <v>0</v>
      </c>
      <c r="Q18" s="29"/>
      <c r="R18" s="29">
        <v>0</v>
      </c>
      <c r="S18" s="29"/>
      <c r="T18" s="32">
        <f t="shared" si="2"/>
        <v>0</v>
      </c>
      <c r="U18" s="33" t="s">
        <v>41</v>
      </c>
      <c r="V18" s="24"/>
      <c r="W18" s="33" t="s">
        <v>147</v>
      </c>
      <c r="X18" s="33" t="s">
        <v>107</v>
      </c>
      <c r="Y18" s="33" t="s">
        <v>148</v>
      </c>
      <c r="Z18" s="33" t="s">
        <v>46</v>
      </c>
      <c r="AA18" s="33">
        <v>46179</v>
      </c>
      <c r="AB18" s="33" t="s">
        <v>149</v>
      </c>
      <c r="AC18" s="34"/>
      <c r="AD18" s="34"/>
    </row>
    <row r="19" spans="1:30" ht="91.5" customHeight="1" x14ac:dyDescent="0.35">
      <c r="A19" s="22">
        <v>16</v>
      </c>
      <c r="B19" s="23" t="s">
        <v>76</v>
      </c>
      <c r="C19" s="23"/>
      <c r="D19" s="23" t="s">
        <v>143</v>
      </c>
      <c r="E19" s="23"/>
      <c r="F19" s="24" t="s">
        <v>150</v>
      </c>
      <c r="G19" s="25" t="s">
        <v>151</v>
      </c>
      <c r="H19" s="25" t="s">
        <v>79</v>
      </c>
      <c r="I19" s="27">
        <v>4</v>
      </c>
      <c r="J19" s="27">
        <v>5</v>
      </c>
      <c r="K19" s="27">
        <f t="shared" si="0"/>
        <v>20</v>
      </c>
      <c r="L19" s="28">
        <v>0.6</v>
      </c>
      <c r="M19" s="29"/>
      <c r="N19" s="30"/>
      <c r="O19" s="31"/>
      <c r="P19" s="32">
        <f t="shared" ref="P19:P43" si="3">((M19+N19*2+O19)/4)*L19</f>
        <v>0</v>
      </c>
      <c r="Q19" s="29"/>
      <c r="R19" s="29">
        <v>0</v>
      </c>
      <c r="S19" s="29"/>
      <c r="T19" s="32">
        <f t="shared" si="2"/>
        <v>0</v>
      </c>
      <c r="U19" s="33" t="s">
        <v>41</v>
      </c>
      <c r="V19" s="24"/>
      <c r="W19" s="33" t="s">
        <v>152</v>
      </c>
      <c r="X19" s="33" t="s">
        <v>153</v>
      </c>
      <c r="Y19" s="33" t="s">
        <v>154</v>
      </c>
      <c r="Z19" s="33" t="s">
        <v>46</v>
      </c>
      <c r="AA19" s="33">
        <v>46179</v>
      </c>
      <c r="AB19" s="33" t="s">
        <v>155</v>
      </c>
      <c r="AC19" s="34"/>
      <c r="AD19" s="34"/>
    </row>
    <row r="20" spans="1:30" ht="93" customHeight="1" x14ac:dyDescent="0.35">
      <c r="A20" s="22">
        <v>17</v>
      </c>
      <c r="B20" s="23" t="s">
        <v>69</v>
      </c>
      <c r="C20" s="23"/>
      <c r="D20" s="23" t="s">
        <v>143</v>
      </c>
      <c r="E20" s="23"/>
      <c r="F20" s="24" t="s">
        <v>156</v>
      </c>
      <c r="G20" s="25" t="s">
        <v>157</v>
      </c>
      <c r="H20" s="25" t="s">
        <v>158</v>
      </c>
      <c r="I20" s="27">
        <v>4</v>
      </c>
      <c r="J20" s="27">
        <v>5</v>
      </c>
      <c r="K20" s="27">
        <f t="shared" si="0"/>
        <v>20</v>
      </c>
      <c r="L20" s="28">
        <v>0.6</v>
      </c>
      <c r="M20" s="29"/>
      <c r="N20" s="30"/>
      <c r="O20" s="31"/>
      <c r="P20" s="32">
        <f t="shared" si="3"/>
        <v>0</v>
      </c>
      <c r="Q20" s="29"/>
      <c r="R20" s="29">
        <v>0</v>
      </c>
      <c r="S20" s="29"/>
      <c r="T20" s="32">
        <f>((Q20+R21*2+S20)/4)*L20</f>
        <v>0</v>
      </c>
      <c r="U20" s="33" t="s">
        <v>41</v>
      </c>
      <c r="V20" s="24"/>
      <c r="W20" s="33" t="s">
        <v>159</v>
      </c>
      <c r="X20" s="33" t="s">
        <v>133</v>
      </c>
      <c r="Y20" s="33" t="s">
        <v>160</v>
      </c>
      <c r="Z20" s="33" t="s">
        <v>46</v>
      </c>
      <c r="AA20" s="33">
        <v>46179</v>
      </c>
      <c r="AB20" s="33" t="s">
        <v>161</v>
      </c>
      <c r="AC20" s="34"/>
      <c r="AD20" s="34"/>
    </row>
    <row r="21" spans="1:30" ht="22.5" customHeight="1" x14ac:dyDescent="0.35">
      <c r="A21" s="22">
        <v>19</v>
      </c>
      <c r="B21" s="23"/>
      <c r="C21" s="23"/>
      <c r="D21" s="23"/>
      <c r="E21" s="23"/>
      <c r="F21" s="24"/>
      <c r="G21" s="25"/>
      <c r="H21" s="25"/>
      <c r="I21" s="27"/>
      <c r="J21" s="27"/>
      <c r="K21" s="27"/>
      <c r="L21" s="28"/>
      <c r="M21" s="29"/>
      <c r="N21" s="30"/>
      <c r="O21" s="31"/>
      <c r="P21" s="32">
        <f t="shared" si="3"/>
        <v>0</v>
      </c>
      <c r="Q21" s="29"/>
      <c r="R21" s="29"/>
      <c r="S21" s="29"/>
      <c r="T21" s="32" t="e">
        <f>((Q21+#REF!*2+S21)/4)*L21</f>
        <v>#REF!</v>
      </c>
      <c r="U21" s="23"/>
      <c r="V21" s="24"/>
      <c r="W21" s="36"/>
      <c r="X21" s="37"/>
      <c r="Y21" s="37"/>
      <c r="Z21" s="23"/>
      <c r="AA21" s="38"/>
      <c r="AB21" s="39"/>
      <c r="AC21" s="34"/>
      <c r="AD21" s="34"/>
    </row>
    <row r="22" spans="1:30" ht="22.5" customHeight="1" x14ac:dyDescent="0.35">
      <c r="A22" s="22">
        <v>20</v>
      </c>
      <c r="B22" s="23"/>
      <c r="C22" s="23"/>
      <c r="D22" s="23"/>
      <c r="E22" s="23"/>
      <c r="F22" s="24"/>
      <c r="G22" s="25"/>
      <c r="H22" s="25"/>
      <c r="I22" s="27"/>
      <c r="J22" s="27"/>
      <c r="K22" s="27"/>
      <c r="L22" s="28"/>
      <c r="M22" s="29"/>
      <c r="N22" s="30"/>
      <c r="O22" s="31"/>
      <c r="P22" s="32">
        <f t="shared" si="3"/>
        <v>0</v>
      </c>
      <c r="Q22" s="29"/>
      <c r="R22" s="29"/>
      <c r="S22" s="29"/>
      <c r="T22" s="32">
        <f t="shared" ref="T22:T43" si="4">((Q22+R22*2+S22)/4)*L22</f>
        <v>0</v>
      </c>
      <c r="U22" s="23"/>
      <c r="V22" s="24"/>
      <c r="W22" s="36"/>
      <c r="X22" s="37"/>
      <c r="Y22" s="37"/>
      <c r="Z22" s="23"/>
      <c r="AA22" s="38"/>
      <c r="AB22" s="39"/>
      <c r="AC22" s="34"/>
      <c r="AD22" s="34"/>
    </row>
    <row r="23" spans="1:30" ht="22.5" customHeight="1" x14ac:dyDescent="0.35">
      <c r="A23" s="22">
        <v>21</v>
      </c>
      <c r="B23" s="23"/>
      <c r="C23" s="23"/>
      <c r="D23" s="23"/>
      <c r="E23" s="23"/>
      <c r="F23" s="24"/>
      <c r="G23" s="25"/>
      <c r="H23" s="25"/>
      <c r="I23" s="27"/>
      <c r="J23" s="27"/>
      <c r="K23" s="27"/>
      <c r="L23" s="28"/>
      <c r="M23" s="29"/>
      <c r="N23" s="30"/>
      <c r="O23" s="31"/>
      <c r="P23" s="32">
        <f t="shared" si="3"/>
        <v>0</v>
      </c>
      <c r="Q23" s="29"/>
      <c r="R23" s="29"/>
      <c r="S23" s="29"/>
      <c r="T23" s="32">
        <f t="shared" si="4"/>
        <v>0</v>
      </c>
      <c r="U23" s="23"/>
      <c r="V23" s="24"/>
      <c r="W23" s="36"/>
      <c r="X23" s="37"/>
      <c r="Y23" s="37"/>
      <c r="Z23" s="23"/>
      <c r="AA23" s="38"/>
      <c r="AB23" s="39"/>
      <c r="AC23" s="34"/>
      <c r="AD23" s="34"/>
    </row>
    <row r="24" spans="1:30" ht="22.5" customHeight="1" x14ac:dyDescent="0.35">
      <c r="A24" s="22">
        <v>22</v>
      </c>
      <c r="B24" s="23"/>
      <c r="C24" s="23"/>
      <c r="D24" s="23"/>
      <c r="E24" s="23"/>
      <c r="F24" s="24"/>
      <c r="G24" s="25"/>
      <c r="H24" s="25"/>
      <c r="I24" s="27"/>
      <c r="J24" s="27"/>
      <c r="K24" s="27"/>
      <c r="L24" s="28"/>
      <c r="M24" s="29"/>
      <c r="N24" s="30"/>
      <c r="O24" s="31"/>
      <c r="P24" s="32">
        <f t="shared" si="3"/>
        <v>0</v>
      </c>
      <c r="Q24" s="29"/>
      <c r="R24" s="29"/>
      <c r="S24" s="29"/>
      <c r="T24" s="32">
        <f t="shared" si="4"/>
        <v>0</v>
      </c>
      <c r="U24" s="23"/>
      <c r="V24" s="24"/>
      <c r="W24" s="36"/>
      <c r="X24" s="37"/>
      <c r="Y24" s="37"/>
      <c r="Z24" s="23"/>
      <c r="AA24" s="38"/>
      <c r="AB24" s="39"/>
      <c r="AC24" s="34"/>
      <c r="AD24" s="34"/>
    </row>
    <row r="25" spans="1:30" ht="22.5" customHeight="1" x14ac:dyDescent="0.35">
      <c r="A25" s="22">
        <v>23</v>
      </c>
      <c r="B25" s="23"/>
      <c r="C25" s="23"/>
      <c r="D25" s="23"/>
      <c r="E25" s="23"/>
      <c r="F25" s="24"/>
      <c r="G25" s="25"/>
      <c r="H25" s="25"/>
      <c r="I25" s="27"/>
      <c r="J25" s="27"/>
      <c r="K25" s="27"/>
      <c r="L25" s="28"/>
      <c r="M25" s="29"/>
      <c r="N25" s="30"/>
      <c r="O25" s="31"/>
      <c r="P25" s="32">
        <f t="shared" si="3"/>
        <v>0</v>
      </c>
      <c r="Q25" s="29"/>
      <c r="R25" s="29"/>
      <c r="S25" s="29"/>
      <c r="T25" s="32">
        <f t="shared" si="4"/>
        <v>0</v>
      </c>
      <c r="U25" s="23"/>
      <c r="V25" s="24"/>
      <c r="W25" s="36"/>
      <c r="X25" s="37"/>
      <c r="Y25" s="37"/>
      <c r="Z25" s="23"/>
      <c r="AA25" s="38"/>
      <c r="AB25" s="39"/>
      <c r="AC25" s="34"/>
      <c r="AD25" s="34"/>
    </row>
    <row r="26" spans="1:30" ht="22.5" customHeight="1" x14ac:dyDescent="0.35">
      <c r="A26" s="22">
        <v>24</v>
      </c>
      <c r="B26" s="23"/>
      <c r="C26" s="23"/>
      <c r="D26" s="23"/>
      <c r="E26" s="23"/>
      <c r="F26" s="24"/>
      <c r="G26" s="25"/>
      <c r="H26" s="25"/>
      <c r="I26" s="27"/>
      <c r="J26" s="27"/>
      <c r="K26" s="27"/>
      <c r="L26" s="28"/>
      <c r="M26" s="29"/>
      <c r="N26" s="30"/>
      <c r="O26" s="31"/>
      <c r="P26" s="32">
        <f t="shared" si="3"/>
        <v>0</v>
      </c>
      <c r="Q26" s="29"/>
      <c r="R26" s="29"/>
      <c r="S26" s="29"/>
      <c r="T26" s="32">
        <f t="shared" si="4"/>
        <v>0</v>
      </c>
      <c r="U26" s="23"/>
      <c r="V26" s="24"/>
      <c r="W26" s="36"/>
      <c r="X26" s="37"/>
      <c r="Y26" s="37"/>
      <c r="Z26" s="23"/>
      <c r="AA26" s="38"/>
      <c r="AB26" s="39"/>
      <c r="AC26" s="34"/>
      <c r="AD26" s="34"/>
    </row>
    <row r="27" spans="1:30" ht="22.5" customHeight="1" x14ac:dyDescent="0.35">
      <c r="A27" s="22">
        <v>25</v>
      </c>
      <c r="B27" s="23"/>
      <c r="C27" s="23"/>
      <c r="D27" s="23"/>
      <c r="E27" s="23"/>
      <c r="F27" s="24"/>
      <c r="G27" s="25"/>
      <c r="H27" s="25"/>
      <c r="I27" s="27"/>
      <c r="J27" s="27"/>
      <c r="K27" s="27"/>
      <c r="L27" s="28">
        <v>0.6</v>
      </c>
      <c r="M27" s="29"/>
      <c r="N27" s="30"/>
      <c r="O27" s="31"/>
      <c r="P27" s="32">
        <f t="shared" si="3"/>
        <v>0</v>
      </c>
      <c r="Q27" s="29"/>
      <c r="R27" s="29"/>
      <c r="S27" s="29"/>
      <c r="T27" s="32">
        <f t="shared" si="4"/>
        <v>0</v>
      </c>
      <c r="U27" s="23"/>
      <c r="V27" s="24"/>
      <c r="W27" s="36"/>
      <c r="X27" s="37"/>
      <c r="Y27" s="37"/>
      <c r="Z27" s="23"/>
      <c r="AA27" s="38"/>
      <c r="AB27" s="39"/>
      <c r="AC27" s="34"/>
      <c r="AD27" s="34"/>
    </row>
    <row r="28" spans="1:30" ht="22.5" customHeight="1" x14ac:dyDescent="0.35">
      <c r="A28" s="22">
        <v>26</v>
      </c>
      <c r="B28" s="23"/>
      <c r="C28" s="23"/>
      <c r="D28" s="23"/>
      <c r="E28" s="23"/>
      <c r="F28" s="24"/>
      <c r="G28" s="25"/>
      <c r="H28" s="25"/>
      <c r="I28" s="27"/>
      <c r="J28" s="27"/>
      <c r="K28" s="27"/>
      <c r="L28" s="28">
        <v>0.6</v>
      </c>
      <c r="M28" s="29"/>
      <c r="N28" s="30"/>
      <c r="O28" s="31"/>
      <c r="P28" s="32">
        <f t="shared" si="3"/>
        <v>0</v>
      </c>
      <c r="Q28" s="29"/>
      <c r="R28" s="29"/>
      <c r="S28" s="29"/>
      <c r="T28" s="32">
        <f t="shared" si="4"/>
        <v>0</v>
      </c>
      <c r="U28" s="23"/>
      <c r="V28" s="24"/>
      <c r="W28" s="36"/>
      <c r="X28" s="37"/>
      <c r="Y28" s="37"/>
      <c r="Z28" s="23"/>
      <c r="AA28" s="38"/>
      <c r="AB28" s="39"/>
      <c r="AC28" s="34"/>
      <c r="AD28" s="34"/>
    </row>
    <row r="29" spans="1:30" ht="22.5" customHeight="1" x14ac:dyDescent="0.35">
      <c r="A29" s="22">
        <v>27</v>
      </c>
      <c r="B29" s="23"/>
      <c r="C29" s="23"/>
      <c r="D29" s="23"/>
      <c r="E29" s="23"/>
      <c r="F29" s="24"/>
      <c r="G29" s="25"/>
      <c r="H29" s="25"/>
      <c r="I29" s="27"/>
      <c r="J29" s="27"/>
      <c r="K29" s="27"/>
      <c r="L29" s="28">
        <v>0.6</v>
      </c>
      <c r="M29" s="29"/>
      <c r="N29" s="30"/>
      <c r="O29" s="31"/>
      <c r="P29" s="32">
        <f t="shared" si="3"/>
        <v>0</v>
      </c>
      <c r="Q29" s="29"/>
      <c r="R29" s="29"/>
      <c r="S29" s="29"/>
      <c r="T29" s="32">
        <f t="shared" si="4"/>
        <v>0</v>
      </c>
      <c r="U29" s="23"/>
      <c r="V29" s="24"/>
      <c r="W29" s="36"/>
      <c r="X29" s="37"/>
      <c r="Y29" s="37"/>
      <c r="Z29" s="23"/>
      <c r="AA29" s="38"/>
      <c r="AB29" s="39"/>
      <c r="AC29" s="34"/>
      <c r="AD29" s="34"/>
    </row>
    <row r="30" spans="1:30" ht="22.5" customHeight="1" x14ac:dyDescent="0.35">
      <c r="A30" s="22">
        <v>28</v>
      </c>
      <c r="B30" s="23"/>
      <c r="C30" s="23"/>
      <c r="D30" s="23"/>
      <c r="E30" s="23"/>
      <c r="F30" s="24"/>
      <c r="G30" s="25"/>
      <c r="H30" s="25"/>
      <c r="I30" s="27"/>
      <c r="J30" s="27"/>
      <c r="K30" s="27"/>
      <c r="L30" s="28">
        <v>0.6</v>
      </c>
      <c r="M30" s="29"/>
      <c r="N30" s="30"/>
      <c r="O30" s="31"/>
      <c r="P30" s="32">
        <f t="shared" si="3"/>
        <v>0</v>
      </c>
      <c r="Q30" s="29"/>
      <c r="R30" s="29"/>
      <c r="S30" s="29"/>
      <c r="T30" s="32">
        <f t="shared" si="4"/>
        <v>0</v>
      </c>
      <c r="U30" s="23"/>
      <c r="V30" s="24"/>
      <c r="W30" s="36"/>
      <c r="X30" s="37"/>
      <c r="Y30" s="37"/>
      <c r="Z30" s="23"/>
      <c r="AA30" s="38"/>
      <c r="AB30" s="39"/>
      <c r="AC30" s="34"/>
      <c r="AD30" s="34"/>
    </row>
    <row r="31" spans="1:30" ht="22.5" customHeight="1" x14ac:dyDescent="0.35">
      <c r="A31" s="22">
        <v>29</v>
      </c>
      <c r="B31" s="23"/>
      <c r="C31" s="23"/>
      <c r="D31" s="23"/>
      <c r="E31" s="23"/>
      <c r="F31" s="24"/>
      <c r="G31" s="25"/>
      <c r="H31" s="25"/>
      <c r="I31" s="27"/>
      <c r="J31" s="27"/>
      <c r="K31" s="27"/>
      <c r="L31" s="28">
        <v>0.6</v>
      </c>
      <c r="M31" s="29"/>
      <c r="N31" s="30"/>
      <c r="O31" s="31"/>
      <c r="P31" s="32">
        <f t="shared" si="3"/>
        <v>0</v>
      </c>
      <c r="Q31" s="29"/>
      <c r="R31" s="29"/>
      <c r="S31" s="29"/>
      <c r="T31" s="32">
        <f t="shared" si="4"/>
        <v>0</v>
      </c>
      <c r="U31" s="23"/>
      <c r="V31" s="24"/>
      <c r="W31" s="36"/>
      <c r="X31" s="37"/>
      <c r="Y31" s="37"/>
      <c r="Z31" s="23"/>
      <c r="AA31" s="38"/>
      <c r="AB31" s="39"/>
      <c r="AC31" s="34"/>
      <c r="AD31" s="34"/>
    </row>
    <row r="32" spans="1:30" ht="22.5" customHeight="1" x14ac:dyDescent="0.35">
      <c r="A32" s="22">
        <v>30</v>
      </c>
      <c r="B32" s="23"/>
      <c r="C32" s="23"/>
      <c r="D32" s="23"/>
      <c r="E32" s="23"/>
      <c r="F32" s="24"/>
      <c r="G32" s="25"/>
      <c r="H32" s="25"/>
      <c r="I32" s="27"/>
      <c r="J32" s="27"/>
      <c r="K32" s="27"/>
      <c r="L32" s="28">
        <v>0.6</v>
      </c>
      <c r="M32" s="29"/>
      <c r="N32" s="30"/>
      <c r="O32" s="31"/>
      <c r="P32" s="32">
        <f t="shared" si="3"/>
        <v>0</v>
      </c>
      <c r="Q32" s="29"/>
      <c r="R32" s="29"/>
      <c r="S32" s="29"/>
      <c r="T32" s="32">
        <f t="shared" si="4"/>
        <v>0</v>
      </c>
      <c r="U32" s="23"/>
      <c r="V32" s="24"/>
      <c r="W32" s="36"/>
      <c r="X32" s="37"/>
      <c r="Y32" s="37"/>
      <c r="Z32" s="23"/>
      <c r="AA32" s="38"/>
      <c r="AB32" s="39"/>
      <c r="AC32" s="34"/>
      <c r="AD32" s="34"/>
    </row>
    <row r="33" spans="1:30" ht="22.5" customHeight="1" x14ac:dyDescent="0.35">
      <c r="A33" s="22">
        <v>31</v>
      </c>
      <c r="B33" s="23"/>
      <c r="C33" s="23"/>
      <c r="D33" s="23"/>
      <c r="E33" s="23"/>
      <c r="F33" s="24"/>
      <c r="G33" s="25"/>
      <c r="H33" s="25"/>
      <c r="I33" s="27"/>
      <c r="J33" s="27"/>
      <c r="K33" s="27"/>
      <c r="L33" s="28">
        <v>0.6</v>
      </c>
      <c r="M33" s="29"/>
      <c r="N33" s="30"/>
      <c r="O33" s="31"/>
      <c r="P33" s="32">
        <f t="shared" si="3"/>
        <v>0</v>
      </c>
      <c r="Q33" s="29"/>
      <c r="R33" s="29"/>
      <c r="S33" s="29"/>
      <c r="T33" s="32">
        <f t="shared" si="4"/>
        <v>0</v>
      </c>
      <c r="U33" s="23"/>
      <c r="V33" s="24"/>
      <c r="W33" s="36"/>
      <c r="X33" s="37"/>
      <c r="Y33" s="37"/>
      <c r="Z33" s="23"/>
      <c r="AA33" s="38"/>
      <c r="AB33" s="39"/>
      <c r="AC33" s="34"/>
      <c r="AD33" s="34"/>
    </row>
    <row r="34" spans="1:30" ht="22.5" customHeight="1" x14ac:dyDescent="0.35">
      <c r="A34" s="22">
        <v>32</v>
      </c>
      <c r="B34" s="23"/>
      <c r="C34" s="23"/>
      <c r="D34" s="23"/>
      <c r="E34" s="23"/>
      <c r="F34" s="24"/>
      <c r="G34" s="25"/>
      <c r="H34" s="25"/>
      <c r="I34" s="27"/>
      <c r="J34" s="27"/>
      <c r="K34" s="27"/>
      <c r="L34" s="28">
        <v>0.6</v>
      </c>
      <c r="M34" s="29"/>
      <c r="N34" s="30"/>
      <c r="O34" s="31"/>
      <c r="P34" s="32">
        <f t="shared" si="3"/>
        <v>0</v>
      </c>
      <c r="Q34" s="29"/>
      <c r="R34" s="29"/>
      <c r="S34" s="29"/>
      <c r="T34" s="32">
        <f t="shared" si="4"/>
        <v>0</v>
      </c>
      <c r="U34" s="23"/>
      <c r="V34" s="24"/>
      <c r="W34" s="36"/>
      <c r="X34" s="37"/>
      <c r="Y34" s="37"/>
      <c r="Z34" s="23"/>
      <c r="AA34" s="38"/>
      <c r="AB34" s="39"/>
      <c r="AC34" s="34"/>
      <c r="AD34" s="34"/>
    </row>
    <row r="35" spans="1:30" ht="22.5" customHeight="1" x14ac:dyDescent="0.35">
      <c r="A35" s="22">
        <v>33</v>
      </c>
      <c r="B35" s="23"/>
      <c r="C35" s="23"/>
      <c r="D35" s="23"/>
      <c r="E35" s="23"/>
      <c r="F35" s="24"/>
      <c r="G35" s="25"/>
      <c r="H35" s="25"/>
      <c r="I35" s="27"/>
      <c r="J35" s="27"/>
      <c r="K35" s="27"/>
      <c r="L35" s="28">
        <v>0.6</v>
      </c>
      <c r="M35" s="29"/>
      <c r="N35" s="30"/>
      <c r="O35" s="31"/>
      <c r="P35" s="32">
        <f t="shared" si="3"/>
        <v>0</v>
      </c>
      <c r="Q35" s="29"/>
      <c r="R35" s="29"/>
      <c r="S35" s="29"/>
      <c r="T35" s="32">
        <f t="shared" si="4"/>
        <v>0</v>
      </c>
      <c r="U35" s="23"/>
      <c r="V35" s="24"/>
      <c r="W35" s="36"/>
      <c r="X35" s="37"/>
      <c r="Y35" s="37"/>
      <c r="Z35" s="23"/>
      <c r="AA35" s="38"/>
      <c r="AB35" s="39"/>
      <c r="AC35" s="34"/>
      <c r="AD35" s="34"/>
    </row>
    <row r="36" spans="1:30" ht="22.5" customHeight="1" x14ac:dyDescent="0.35">
      <c r="A36" s="22">
        <v>34</v>
      </c>
      <c r="B36" s="23"/>
      <c r="C36" s="23"/>
      <c r="D36" s="23"/>
      <c r="E36" s="23"/>
      <c r="F36" s="24"/>
      <c r="G36" s="25"/>
      <c r="H36" s="25"/>
      <c r="I36" s="27"/>
      <c r="J36" s="27"/>
      <c r="K36" s="27"/>
      <c r="L36" s="28">
        <v>0.6</v>
      </c>
      <c r="M36" s="29"/>
      <c r="N36" s="30"/>
      <c r="O36" s="31"/>
      <c r="P36" s="32">
        <f t="shared" si="3"/>
        <v>0</v>
      </c>
      <c r="Q36" s="29"/>
      <c r="R36" s="29"/>
      <c r="S36" s="29"/>
      <c r="T36" s="32">
        <f t="shared" si="4"/>
        <v>0</v>
      </c>
      <c r="U36" s="23"/>
      <c r="V36" s="24"/>
      <c r="W36" s="36"/>
      <c r="X36" s="37"/>
      <c r="Y36" s="37"/>
      <c r="Z36" s="23"/>
      <c r="AA36" s="38"/>
      <c r="AB36" s="39"/>
      <c r="AC36" s="34"/>
      <c r="AD36" s="34"/>
    </row>
    <row r="37" spans="1:30" ht="22.5" customHeight="1" x14ac:dyDescent="0.35">
      <c r="A37" s="22">
        <v>35</v>
      </c>
      <c r="B37" s="23"/>
      <c r="C37" s="23"/>
      <c r="D37" s="23"/>
      <c r="E37" s="23"/>
      <c r="F37" s="24"/>
      <c r="G37" s="25"/>
      <c r="H37" s="25"/>
      <c r="I37" s="27"/>
      <c r="J37" s="27"/>
      <c r="K37" s="27"/>
      <c r="L37" s="28">
        <v>0.6</v>
      </c>
      <c r="M37" s="29"/>
      <c r="N37" s="30"/>
      <c r="O37" s="31"/>
      <c r="P37" s="32">
        <f t="shared" si="3"/>
        <v>0</v>
      </c>
      <c r="Q37" s="29"/>
      <c r="R37" s="29"/>
      <c r="S37" s="29"/>
      <c r="T37" s="32">
        <f t="shared" si="4"/>
        <v>0</v>
      </c>
      <c r="U37" s="23"/>
      <c r="V37" s="24"/>
      <c r="W37" s="36"/>
      <c r="X37" s="37"/>
      <c r="Y37" s="37"/>
      <c r="Z37" s="23"/>
      <c r="AA37" s="38"/>
      <c r="AB37" s="39"/>
      <c r="AC37" s="34"/>
      <c r="AD37" s="34"/>
    </row>
    <row r="38" spans="1:30" ht="22.5" customHeight="1" x14ac:dyDescent="0.35">
      <c r="A38" s="22">
        <v>36</v>
      </c>
      <c r="B38" s="23"/>
      <c r="C38" s="23"/>
      <c r="D38" s="23"/>
      <c r="E38" s="23"/>
      <c r="F38" s="24"/>
      <c r="G38" s="25"/>
      <c r="H38" s="25"/>
      <c r="I38" s="27"/>
      <c r="J38" s="27"/>
      <c r="K38" s="27"/>
      <c r="L38" s="28">
        <v>0.6</v>
      </c>
      <c r="M38" s="29"/>
      <c r="N38" s="40"/>
      <c r="O38" s="31"/>
      <c r="P38" s="32">
        <f t="shared" si="3"/>
        <v>0</v>
      </c>
      <c r="Q38" s="29"/>
      <c r="R38" s="29"/>
      <c r="S38" s="29"/>
      <c r="T38" s="32">
        <f t="shared" si="4"/>
        <v>0</v>
      </c>
      <c r="U38" s="23"/>
      <c r="V38" s="24"/>
      <c r="W38" s="36"/>
      <c r="X38" s="37"/>
      <c r="Y38" s="37"/>
      <c r="Z38" s="23"/>
      <c r="AA38" s="38"/>
      <c r="AB38" s="39"/>
      <c r="AC38" s="34"/>
      <c r="AD38" s="34"/>
    </row>
    <row r="39" spans="1:30" ht="22.5" customHeight="1" x14ac:dyDescent="0.35">
      <c r="A39" s="22">
        <v>37</v>
      </c>
      <c r="B39" s="23"/>
      <c r="C39" s="23"/>
      <c r="D39" s="23"/>
      <c r="E39" s="23"/>
      <c r="F39" s="24"/>
      <c r="G39" s="25"/>
      <c r="H39" s="25"/>
      <c r="I39" s="27"/>
      <c r="J39" s="27"/>
      <c r="K39" s="27">
        <f t="shared" ref="K39:K41" si="5">I39*J39</f>
        <v>0</v>
      </c>
      <c r="L39" s="28">
        <v>0.6</v>
      </c>
      <c r="M39" s="29"/>
      <c r="N39" s="40"/>
      <c r="O39" s="31"/>
      <c r="P39" s="32">
        <f t="shared" si="3"/>
        <v>0</v>
      </c>
      <c r="Q39" s="29"/>
      <c r="R39" s="29"/>
      <c r="S39" s="29"/>
      <c r="T39" s="32">
        <f t="shared" si="4"/>
        <v>0</v>
      </c>
      <c r="U39" s="23"/>
      <c r="V39" s="24"/>
      <c r="W39" s="36"/>
      <c r="X39" s="37"/>
      <c r="Y39" s="37"/>
      <c r="Z39" s="23"/>
      <c r="AA39" s="38"/>
      <c r="AB39" s="39"/>
      <c r="AC39" s="34"/>
      <c r="AD39" s="34"/>
    </row>
    <row r="40" spans="1:30" ht="22.5" customHeight="1" x14ac:dyDescent="0.35">
      <c r="A40" s="22">
        <v>38</v>
      </c>
      <c r="B40" s="23"/>
      <c r="C40" s="23"/>
      <c r="D40" s="23"/>
      <c r="E40" s="23"/>
      <c r="F40" s="24"/>
      <c r="G40" s="25"/>
      <c r="H40" s="25"/>
      <c r="I40" s="27"/>
      <c r="J40" s="27"/>
      <c r="K40" s="27">
        <f t="shared" si="5"/>
        <v>0</v>
      </c>
      <c r="L40" s="28">
        <v>0.6</v>
      </c>
      <c r="M40" s="29"/>
      <c r="N40" s="40"/>
      <c r="O40" s="31"/>
      <c r="P40" s="32">
        <f t="shared" si="3"/>
        <v>0</v>
      </c>
      <c r="Q40" s="29"/>
      <c r="R40" s="29"/>
      <c r="S40" s="29"/>
      <c r="T40" s="32">
        <f t="shared" si="4"/>
        <v>0</v>
      </c>
      <c r="U40" s="23"/>
      <c r="V40" s="24"/>
      <c r="W40" s="36"/>
      <c r="X40" s="37"/>
      <c r="Y40" s="37"/>
      <c r="Z40" s="23"/>
      <c r="AA40" s="38"/>
      <c r="AB40" s="39"/>
      <c r="AC40" s="34"/>
      <c r="AD40" s="34"/>
    </row>
    <row r="41" spans="1:30" ht="22.5" customHeight="1" x14ac:dyDescent="0.35">
      <c r="A41" s="22">
        <v>39</v>
      </c>
      <c r="B41" s="23"/>
      <c r="C41" s="23"/>
      <c r="D41" s="23"/>
      <c r="E41" s="23"/>
      <c r="F41" s="24"/>
      <c r="G41" s="25"/>
      <c r="H41" s="25"/>
      <c r="I41" s="27"/>
      <c r="J41" s="27"/>
      <c r="K41" s="27">
        <f t="shared" si="5"/>
        <v>0</v>
      </c>
      <c r="L41" s="28">
        <v>0.6</v>
      </c>
      <c r="M41" s="29"/>
      <c r="N41" s="40"/>
      <c r="O41" s="31"/>
      <c r="P41" s="32">
        <f t="shared" si="3"/>
        <v>0</v>
      </c>
      <c r="Q41" s="29"/>
      <c r="R41" s="29"/>
      <c r="S41" s="29"/>
      <c r="T41" s="32">
        <f t="shared" si="4"/>
        <v>0</v>
      </c>
      <c r="U41" s="23"/>
      <c r="V41" s="24"/>
      <c r="W41" s="36"/>
      <c r="X41" s="37"/>
      <c r="Y41" s="37"/>
      <c r="Z41" s="23"/>
      <c r="AA41" s="38"/>
      <c r="AB41" s="39"/>
      <c r="AC41" s="34"/>
      <c r="AD41" s="34"/>
    </row>
    <row r="42" spans="1:30" ht="22.5" customHeight="1" x14ac:dyDescent="0.35">
      <c r="A42" s="22">
        <v>40</v>
      </c>
      <c r="B42" s="23"/>
      <c r="C42" s="23"/>
      <c r="D42" s="23"/>
      <c r="E42" s="23"/>
      <c r="F42" s="24"/>
      <c r="G42" s="25"/>
      <c r="H42" s="25"/>
      <c r="I42" s="27"/>
      <c r="J42" s="27"/>
      <c r="K42" s="27"/>
      <c r="L42" s="28">
        <v>0.6</v>
      </c>
      <c r="M42" s="29"/>
      <c r="N42" s="40"/>
      <c r="O42" s="31"/>
      <c r="P42" s="32">
        <f t="shared" si="3"/>
        <v>0</v>
      </c>
      <c r="Q42" s="29"/>
      <c r="R42" s="29"/>
      <c r="S42" s="29"/>
      <c r="T42" s="32">
        <f t="shared" si="4"/>
        <v>0</v>
      </c>
      <c r="U42" s="23"/>
      <c r="V42" s="24"/>
      <c r="W42" s="36"/>
      <c r="X42" s="37"/>
      <c r="Y42" s="37"/>
      <c r="Z42" s="23"/>
      <c r="AA42" s="38"/>
      <c r="AB42" s="39"/>
      <c r="AC42" s="34"/>
      <c r="AD42" s="34"/>
    </row>
    <row r="43" spans="1:30" ht="22.5" customHeight="1" x14ac:dyDescent="0.35">
      <c r="A43" s="22">
        <v>41</v>
      </c>
      <c r="B43" s="23"/>
      <c r="C43" s="23"/>
      <c r="D43" s="23"/>
      <c r="E43" s="23"/>
      <c r="F43" s="24"/>
      <c r="G43" s="25"/>
      <c r="H43" s="25"/>
      <c r="I43" s="27"/>
      <c r="J43" s="27"/>
      <c r="K43" s="27"/>
      <c r="L43" s="28"/>
      <c r="M43" s="29"/>
      <c r="N43" s="40"/>
      <c r="O43" s="31"/>
      <c r="P43" s="32">
        <f t="shared" si="3"/>
        <v>0</v>
      </c>
      <c r="Q43" s="29"/>
      <c r="R43" s="29"/>
      <c r="S43" s="29"/>
      <c r="T43" s="32">
        <f t="shared" si="4"/>
        <v>0</v>
      </c>
      <c r="U43" s="23"/>
      <c r="V43" s="24"/>
      <c r="W43" s="36"/>
      <c r="X43" s="37"/>
      <c r="Y43" s="37"/>
      <c r="Z43" s="23"/>
      <c r="AA43" s="38"/>
      <c r="AB43" s="39"/>
      <c r="AC43" s="34"/>
      <c r="AD43" s="34"/>
    </row>
    <row r="44" spans="1:30" ht="22.5" customHeight="1" x14ac:dyDescent="0.35">
      <c r="A44" s="41"/>
      <c r="B44" s="42"/>
      <c r="C44" s="42"/>
      <c r="D44" s="41"/>
      <c r="E44" s="41"/>
      <c r="F44" s="42"/>
      <c r="G44" s="43"/>
      <c r="H44" s="44"/>
      <c r="I44" s="41"/>
      <c r="J44" s="41"/>
      <c r="K44" s="41"/>
      <c r="L44" s="41"/>
      <c r="M44" s="41"/>
      <c r="N44" s="41"/>
      <c r="O44" s="45"/>
      <c r="P44" s="41"/>
      <c r="Q44" s="41"/>
      <c r="R44" s="41"/>
      <c r="S44" s="46"/>
      <c r="T44" s="46"/>
      <c r="U44" s="47"/>
      <c r="V44" s="47"/>
      <c r="W44" s="48"/>
      <c r="X44" s="49"/>
      <c r="Y44" s="49"/>
      <c r="Z44" s="47"/>
      <c r="AA44" s="47"/>
      <c r="AB44" s="47"/>
      <c r="AC44" s="34"/>
      <c r="AD44" s="34"/>
    </row>
    <row r="45" spans="1:30" ht="22.5" customHeight="1" x14ac:dyDescent="0.35">
      <c r="A45" s="41"/>
      <c r="B45" s="42"/>
      <c r="C45" s="42"/>
      <c r="D45" s="41"/>
      <c r="E45" s="41"/>
      <c r="F45" s="42"/>
      <c r="G45" s="43"/>
      <c r="H45" s="44"/>
      <c r="I45" s="41"/>
      <c r="J45" s="41"/>
      <c r="K45" s="41"/>
      <c r="L45" s="41"/>
      <c r="M45" s="41"/>
      <c r="N45" s="41"/>
      <c r="O45" s="45"/>
      <c r="P45" s="41"/>
      <c r="Q45" s="41"/>
      <c r="R45" s="41"/>
      <c r="S45" s="46"/>
      <c r="T45" s="46"/>
      <c r="U45" s="47"/>
      <c r="V45" s="47"/>
      <c r="W45" s="48"/>
      <c r="X45" s="49"/>
      <c r="Y45" s="49"/>
      <c r="Z45" s="47"/>
      <c r="AA45" s="47"/>
      <c r="AB45" s="47"/>
      <c r="AC45" s="34"/>
      <c r="AD45" s="34"/>
    </row>
    <row r="46" spans="1:30" ht="22.5" customHeight="1" x14ac:dyDescent="0.35">
      <c r="A46" s="41"/>
      <c r="B46" s="42"/>
      <c r="C46" s="42"/>
      <c r="D46" s="41"/>
      <c r="E46" s="41"/>
      <c r="F46" s="42"/>
      <c r="G46" s="43"/>
      <c r="H46" s="44"/>
      <c r="I46" s="41"/>
      <c r="J46" s="41"/>
      <c r="K46" s="41"/>
      <c r="L46" s="41"/>
      <c r="M46" s="41"/>
      <c r="N46" s="41"/>
      <c r="O46" s="45"/>
      <c r="P46" s="41"/>
      <c r="Q46" s="41"/>
      <c r="R46" s="41"/>
      <c r="S46" s="46"/>
      <c r="T46" s="46"/>
      <c r="U46" s="47"/>
      <c r="V46" s="47"/>
      <c r="W46" s="48"/>
      <c r="X46" s="49"/>
      <c r="Y46" s="49"/>
      <c r="Z46" s="47"/>
      <c r="AA46" s="47"/>
      <c r="AB46" s="47"/>
      <c r="AC46" s="34"/>
      <c r="AD46" s="34"/>
    </row>
    <row r="47" spans="1:30" ht="22.5" customHeight="1" x14ac:dyDescent="0.35">
      <c r="A47" s="41"/>
      <c r="B47" s="42"/>
      <c r="C47" s="42"/>
      <c r="D47" s="41"/>
      <c r="E47" s="41"/>
      <c r="F47" s="42"/>
      <c r="G47" s="43"/>
      <c r="H47" s="44"/>
      <c r="I47" s="41"/>
      <c r="J47" s="41"/>
      <c r="K47" s="41"/>
      <c r="L47" s="41"/>
      <c r="M47" s="41"/>
      <c r="N47" s="41"/>
      <c r="O47" s="45"/>
      <c r="P47" s="41"/>
      <c r="Q47" s="41"/>
      <c r="R47" s="41"/>
      <c r="S47" s="46"/>
      <c r="T47" s="46"/>
      <c r="U47" s="47"/>
      <c r="V47" s="47"/>
      <c r="W47" s="48"/>
      <c r="X47" s="49"/>
      <c r="Y47" s="49"/>
      <c r="Z47" s="47"/>
      <c r="AA47" s="47"/>
      <c r="AB47" s="47"/>
      <c r="AC47" s="34"/>
      <c r="AD47" s="34"/>
    </row>
    <row r="48" spans="1:30" ht="22.5" customHeight="1" x14ac:dyDescent="0.35">
      <c r="A48" s="41"/>
      <c r="B48" s="42"/>
      <c r="C48" s="42"/>
      <c r="D48" s="41"/>
      <c r="E48" s="41"/>
      <c r="F48" s="42"/>
      <c r="G48" s="43"/>
      <c r="H48" s="44"/>
      <c r="I48" s="41"/>
      <c r="J48" s="41"/>
      <c r="K48" s="41"/>
      <c r="L48" s="41"/>
      <c r="M48" s="41"/>
      <c r="N48" s="41"/>
      <c r="O48" s="45"/>
      <c r="P48" s="41"/>
      <c r="Q48" s="41"/>
      <c r="R48" s="41"/>
      <c r="S48" s="46"/>
      <c r="T48" s="46"/>
      <c r="U48" s="47"/>
      <c r="V48" s="47"/>
      <c r="W48" s="48"/>
      <c r="X48" s="49"/>
      <c r="Y48" s="49"/>
      <c r="Z48" s="47"/>
      <c r="AA48" s="47"/>
      <c r="AB48" s="47"/>
      <c r="AC48" s="34"/>
      <c r="AD48" s="34"/>
    </row>
    <row r="49" spans="1:30" ht="22.5" customHeight="1" x14ac:dyDescent="0.35">
      <c r="A49" s="41"/>
      <c r="B49" s="42"/>
      <c r="C49" s="42"/>
      <c r="D49" s="41"/>
      <c r="E49" s="41"/>
      <c r="F49" s="42"/>
      <c r="G49" s="43"/>
      <c r="H49" s="44"/>
      <c r="I49" s="41"/>
      <c r="J49" s="41"/>
      <c r="K49" s="41"/>
      <c r="L49" s="41"/>
      <c r="M49" s="41"/>
      <c r="N49" s="41"/>
      <c r="O49" s="45"/>
      <c r="P49" s="41"/>
      <c r="Q49" s="41"/>
      <c r="R49" s="41"/>
      <c r="S49" s="46"/>
      <c r="T49" s="46"/>
      <c r="U49" s="47"/>
      <c r="V49" s="47"/>
      <c r="W49" s="48"/>
      <c r="X49" s="49"/>
      <c r="Y49" s="49"/>
      <c r="Z49" s="47"/>
      <c r="AA49" s="47"/>
      <c r="AB49" s="47"/>
      <c r="AC49" s="34"/>
      <c r="AD49" s="34"/>
    </row>
    <row r="50" spans="1:30" ht="22.5" customHeight="1" x14ac:dyDescent="0.35">
      <c r="A50" s="41"/>
      <c r="B50" s="42"/>
      <c r="C50" s="42"/>
      <c r="D50" s="41"/>
      <c r="E50" s="41"/>
      <c r="F50" s="42"/>
      <c r="G50" s="43"/>
      <c r="H50" s="44"/>
      <c r="I50" s="41"/>
      <c r="J50" s="41"/>
      <c r="K50" s="41"/>
      <c r="L50" s="41"/>
      <c r="M50" s="41"/>
      <c r="N50" s="41"/>
      <c r="O50" s="45"/>
      <c r="P50" s="41"/>
      <c r="Q50" s="41"/>
      <c r="R50" s="41"/>
      <c r="S50" s="46"/>
      <c r="T50" s="46"/>
      <c r="U50" s="47"/>
      <c r="V50" s="47"/>
      <c r="W50" s="48"/>
      <c r="X50" s="49"/>
      <c r="Y50" s="49"/>
      <c r="Z50" s="47"/>
      <c r="AA50" s="47"/>
      <c r="AB50" s="47"/>
      <c r="AC50" s="34"/>
      <c r="AD50" s="34"/>
    </row>
    <row r="51" spans="1:30" ht="22.5" customHeight="1" x14ac:dyDescent="0.35">
      <c r="A51" s="41"/>
      <c r="B51" s="42"/>
      <c r="C51" s="42"/>
      <c r="D51" s="41"/>
      <c r="E51" s="41"/>
      <c r="F51" s="42"/>
      <c r="G51" s="43"/>
      <c r="H51" s="44"/>
      <c r="I51" s="41"/>
      <c r="J51" s="41"/>
      <c r="K51" s="41"/>
      <c r="L51" s="41"/>
      <c r="M51" s="41"/>
      <c r="N51" s="41"/>
      <c r="O51" s="45"/>
      <c r="P51" s="41"/>
      <c r="Q51" s="41"/>
      <c r="R51" s="41"/>
      <c r="S51" s="46"/>
      <c r="T51" s="46"/>
      <c r="U51" s="47"/>
      <c r="V51" s="47"/>
      <c r="W51" s="48"/>
      <c r="X51" s="49"/>
      <c r="Y51" s="49"/>
      <c r="Z51" s="47"/>
      <c r="AA51" s="47"/>
      <c r="AB51" s="47"/>
      <c r="AC51" s="34"/>
      <c r="AD51" s="34"/>
    </row>
    <row r="52" spans="1:30" ht="22.5" customHeight="1" x14ac:dyDescent="0.35">
      <c r="A52" s="41"/>
      <c r="B52" s="42"/>
      <c r="C52" s="42"/>
      <c r="D52" s="41"/>
      <c r="E52" s="41"/>
      <c r="F52" s="42"/>
      <c r="G52" s="43"/>
      <c r="H52" s="44"/>
      <c r="I52" s="41"/>
      <c r="J52" s="41"/>
      <c r="K52" s="41"/>
      <c r="L52" s="41"/>
      <c r="M52" s="41"/>
      <c r="N52" s="41"/>
      <c r="O52" s="45"/>
      <c r="P52" s="41"/>
      <c r="Q52" s="41"/>
      <c r="R52" s="41"/>
      <c r="S52" s="46"/>
      <c r="T52" s="46"/>
      <c r="U52" s="47"/>
      <c r="V52" s="47"/>
      <c r="W52" s="48"/>
      <c r="X52" s="49"/>
      <c r="Y52" s="49"/>
      <c r="Z52" s="47"/>
      <c r="AA52" s="47"/>
      <c r="AB52" s="47"/>
      <c r="AC52" s="34"/>
      <c r="AD52" s="34"/>
    </row>
    <row r="53" spans="1:30" ht="22.5" customHeight="1" x14ac:dyDescent="0.35">
      <c r="A53" s="41"/>
      <c r="B53" s="42"/>
      <c r="C53" s="42"/>
      <c r="D53" s="41"/>
      <c r="E53" s="41"/>
      <c r="F53" s="42"/>
      <c r="G53" s="43"/>
      <c r="H53" s="44"/>
      <c r="I53" s="41"/>
      <c r="J53" s="41"/>
      <c r="K53" s="41"/>
      <c r="L53" s="41"/>
      <c r="M53" s="41"/>
      <c r="N53" s="41"/>
      <c r="O53" s="45"/>
      <c r="P53" s="41"/>
      <c r="Q53" s="41"/>
      <c r="R53" s="41"/>
      <c r="S53" s="46"/>
      <c r="T53" s="46"/>
      <c r="U53" s="47"/>
      <c r="V53" s="47"/>
      <c r="W53" s="48"/>
      <c r="X53" s="49"/>
      <c r="Y53" s="49"/>
      <c r="Z53" s="47"/>
      <c r="AA53" s="47"/>
      <c r="AB53" s="47"/>
      <c r="AC53" s="34"/>
      <c r="AD53" s="34"/>
    </row>
    <row r="54" spans="1:30" ht="22.5" customHeight="1" x14ac:dyDescent="0.35">
      <c r="A54" s="41"/>
      <c r="B54" s="42"/>
      <c r="C54" s="42"/>
      <c r="D54" s="41"/>
      <c r="E54" s="41"/>
      <c r="F54" s="42"/>
      <c r="G54" s="43"/>
      <c r="H54" s="44"/>
      <c r="I54" s="41"/>
      <c r="J54" s="41"/>
      <c r="K54" s="41"/>
      <c r="L54" s="41"/>
      <c r="M54" s="41"/>
      <c r="N54" s="41"/>
      <c r="O54" s="45"/>
      <c r="P54" s="41"/>
      <c r="Q54" s="41"/>
      <c r="R54" s="41"/>
      <c r="S54" s="46"/>
      <c r="T54" s="46"/>
      <c r="U54" s="47"/>
      <c r="V54" s="47"/>
      <c r="W54" s="48"/>
      <c r="X54" s="49"/>
      <c r="Y54" s="49"/>
      <c r="Z54" s="47"/>
      <c r="AA54" s="47"/>
      <c r="AB54" s="47"/>
      <c r="AC54" s="34"/>
      <c r="AD54" s="34"/>
    </row>
    <row r="55" spans="1:30" ht="22.5" customHeight="1" x14ac:dyDescent="0.35">
      <c r="A55" s="41"/>
      <c r="B55" s="42"/>
      <c r="C55" s="42"/>
      <c r="D55" s="41"/>
      <c r="E55" s="41"/>
      <c r="F55" s="42"/>
      <c r="G55" s="43"/>
      <c r="H55" s="44"/>
      <c r="I55" s="41"/>
      <c r="J55" s="41"/>
      <c r="K55" s="41"/>
      <c r="L55" s="41"/>
      <c r="M55" s="41"/>
      <c r="N55" s="41"/>
      <c r="O55" s="45"/>
      <c r="P55" s="41"/>
      <c r="Q55" s="41"/>
      <c r="R55" s="41"/>
      <c r="S55" s="46"/>
      <c r="T55" s="46"/>
      <c r="U55" s="47"/>
      <c r="V55" s="47"/>
      <c r="W55" s="48"/>
      <c r="X55" s="49"/>
      <c r="Y55" s="49"/>
      <c r="Z55" s="47"/>
      <c r="AA55" s="47"/>
      <c r="AB55" s="47"/>
      <c r="AC55" s="34"/>
      <c r="AD55" s="34"/>
    </row>
    <row r="56" spans="1:30" ht="22.5" customHeight="1" x14ac:dyDescent="0.35">
      <c r="A56" s="41"/>
      <c r="B56" s="42"/>
      <c r="C56" s="42"/>
      <c r="D56" s="41"/>
      <c r="E56" s="41"/>
      <c r="F56" s="42"/>
      <c r="G56" s="43"/>
      <c r="H56" s="44"/>
      <c r="I56" s="41"/>
      <c r="J56" s="41"/>
      <c r="K56" s="41"/>
      <c r="L56" s="41"/>
      <c r="M56" s="41"/>
      <c r="N56" s="41"/>
      <c r="O56" s="45"/>
      <c r="P56" s="41"/>
      <c r="Q56" s="41"/>
      <c r="R56" s="41"/>
      <c r="S56" s="46"/>
      <c r="T56" s="46"/>
      <c r="U56" s="47"/>
      <c r="V56" s="47"/>
      <c r="W56" s="48"/>
      <c r="X56" s="49"/>
      <c r="Y56" s="49"/>
      <c r="Z56" s="47"/>
      <c r="AA56" s="47"/>
      <c r="AB56" s="47"/>
      <c r="AC56" s="34"/>
      <c r="AD56" s="34"/>
    </row>
    <row r="57" spans="1:30" ht="22.5" customHeight="1" x14ac:dyDescent="0.35">
      <c r="A57" s="41"/>
      <c r="B57" s="42"/>
      <c r="C57" s="42"/>
      <c r="D57" s="41"/>
      <c r="E57" s="41"/>
      <c r="F57" s="42"/>
      <c r="G57" s="43"/>
      <c r="H57" s="44"/>
      <c r="I57" s="41"/>
      <c r="J57" s="41"/>
      <c r="K57" s="41"/>
      <c r="L57" s="41"/>
      <c r="M57" s="41"/>
      <c r="N57" s="41"/>
      <c r="O57" s="45"/>
      <c r="P57" s="41"/>
      <c r="Q57" s="41"/>
      <c r="R57" s="41"/>
      <c r="S57" s="46"/>
      <c r="T57" s="46"/>
      <c r="U57" s="47"/>
      <c r="V57" s="47"/>
      <c r="W57" s="48"/>
      <c r="X57" s="49"/>
      <c r="Y57" s="49"/>
      <c r="Z57" s="47"/>
      <c r="AA57" s="47"/>
      <c r="AB57" s="47"/>
      <c r="AC57" s="34"/>
      <c r="AD57" s="34"/>
    </row>
    <row r="58" spans="1:30" ht="22.5" customHeight="1" x14ac:dyDescent="0.35">
      <c r="A58" s="41"/>
      <c r="B58" s="42"/>
      <c r="C58" s="42"/>
      <c r="D58" s="41"/>
      <c r="E58" s="41"/>
      <c r="F58" s="42"/>
      <c r="G58" s="43"/>
      <c r="H58" s="44"/>
      <c r="I58" s="41"/>
      <c r="J58" s="41"/>
      <c r="K58" s="41"/>
      <c r="L58" s="41"/>
      <c r="M58" s="41"/>
      <c r="N58" s="41"/>
      <c r="O58" s="45"/>
      <c r="P58" s="41"/>
      <c r="Q58" s="41"/>
      <c r="R58" s="41"/>
      <c r="S58" s="46"/>
      <c r="T58" s="46"/>
      <c r="U58" s="47"/>
      <c r="V58" s="47"/>
      <c r="W58" s="48"/>
      <c r="X58" s="49"/>
      <c r="Y58" s="49"/>
      <c r="Z58" s="47"/>
      <c r="AA58" s="47"/>
      <c r="AB58" s="47"/>
      <c r="AC58" s="34"/>
      <c r="AD58" s="34"/>
    </row>
    <row r="59" spans="1:30" ht="22.5" customHeight="1" x14ac:dyDescent="0.35">
      <c r="A59" s="41"/>
      <c r="B59" s="42"/>
      <c r="C59" s="42"/>
      <c r="D59" s="41"/>
      <c r="E59" s="41"/>
      <c r="F59" s="42"/>
      <c r="G59" s="43"/>
      <c r="H59" s="44"/>
      <c r="I59" s="41"/>
      <c r="J59" s="41"/>
      <c r="K59" s="41"/>
      <c r="L59" s="41"/>
      <c r="M59" s="41"/>
      <c r="N59" s="41"/>
      <c r="O59" s="45"/>
      <c r="P59" s="41"/>
      <c r="Q59" s="41"/>
      <c r="R59" s="41"/>
      <c r="S59" s="46"/>
      <c r="T59" s="46"/>
      <c r="U59" s="47"/>
      <c r="V59" s="47"/>
      <c r="W59" s="48"/>
      <c r="X59" s="49"/>
      <c r="Y59" s="49"/>
      <c r="Z59" s="47"/>
      <c r="AA59" s="47"/>
      <c r="AB59" s="47"/>
      <c r="AC59" s="34"/>
      <c r="AD59" s="34"/>
    </row>
    <row r="60" spans="1:30" ht="22.5" customHeight="1" x14ac:dyDescent="0.35">
      <c r="A60" s="41"/>
      <c r="B60" s="42"/>
      <c r="C60" s="42"/>
      <c r="D60" s="41"/>
      <c r="E60" s="41"/>
      <c r="F60" s="42"/>
      <c r="G60" s="43"/>
      <c r="H60" s="44"/>
      <c r="I60" s="41"/>
      <c r="J60" s="41"/>
      <c r="K60" s="41"/>
      <c r="L60" s="41"/>
      <c r="M60" s="41"/>
      <c r="N60" s="41"/>
      <c r="O60" s="45"/>
      <c r="P60" s="41"/>
      <c r="Q60" s="41"/>
      <c r="R60" s="41"/>
      <c r="S60" s="46"/>
      <c r="T60" s="46"/>
      <c r="U60" s="47"/>
      <c r="V60" s="47"/>
      <c r="W60" s="48"/>
      <c r="X60" s="49"/>
      <c r="Y60" s="49"/>
      <c r="Z60" s="47"/>
      <c r="AA60" s="47"/>
      <c r="AB60" s="47"/>
      <c r="AC60" s="34"/>
      <c r="AD60" s="34"/>
    </row>
    <row r="61" spans="1:30" ht="22.5" customHeight="1" x14ac:dyDescent="0.35">
      <c r="A61" s="41"/>
      <c r="B61" s="42"/>
      <c r="C61" s="42"/>
      <c r="D61" s="41"/>
      <c r="E61" s="41"/>
      <c r="F61" s="42"/>
      <c r="G61" s="43"/>
      <c r="H61" s="44"/>
      <c r="I61" s="41"/>
      <c r="J61" s="41"/>
      <c r="K61" s="41"/>
      <c r="L61" s="41"/>
      <c r="M61" s="41"/>
      <c r="N61" s="41"/>
      <c r="O61" s="45"/>
      <c r="P61" s="41"/>
      <c r="Q61" s="41"/>
      <c r="R61" s="41"/>
      <c r="S61" s="46"/>
      <c r="T61" s="46"/>
      <c r="U61" s="47"/>
      <c r="V61" s="47"/>
      <c r="W61" s="48"/>
      <c r="X61" s="49"/>
      <c r="Y61" s="49"/>
      <c r="Z61" s="47"/>
      <c r="AA61" s="47"/>
      <c r="AB61" s="47"/>
      <c r="AC61" s="34"/>
      <c r="AD61" s="34"/>
    </row>
    <row r="62" spans="1:30" ht="22.5" customHeight="1" x14ac:dyDescent="0.35">
      <c r="A62" s="41"/>
      <c r="B62" s="42"/>
      <c r="C62" s="42"/>
      <c r="D62" s="41"/>
      <c r="E62" s="41"/>
      <c r="F62" s="42"/>
      <c r="G62" s="43"/>
      <c r="H62" s="44"/>
      <c r="I62" s="41"/>
      <c r="J62" s="41"/>
      <c r="K62" s="41"/>
      <c r="L62" s="41"/>
      <c r="M62" s="41"/>
      <c r="N62" s="41"/>
      <c r="O62" s="45"/>
      <c r="P62" s="41"/>
      <c r="Q62" s="41"/>
      <c r="R62" s="41"/>
      <c r="S62" s="46"/>
      <c r="T62" s="46"/>
      <c r="U62" s="47"/>
      <c r="V62" s="47"/>
      <c r="W62" s="48"/>
      <c r="X62" s="49"/>
      <c r="Y62" s="49"/>
      <c r="Z62" s="47"/>
      <c r="AA62" s="47"/>
      <c r="AB62" s="47"/>
      <c r="AC62" s="34"/>
      <c r="AD62" s="34"/>
    </row>
    <row r="63" spans="1:30" ht="22.5" customHeight="1" x14ac:dyDescent="0.35">
      <c r="A63" s="41"/>
      <c r="B63" s="42"/>
      <c r="C63" s="42"/>
      <c r="D63" s="41"/>
      <c r="E63" s="41"/>
      <c r="F63" s="42"/>
      <c r="G63" s="43"/>
      <c r="H63" s="44"/>
      <c r="I63" s="41"/>
      <c r="J63" s="41"/>
      <c r="K63" s="41"/>
      <c r="L63" s="41"/>
      <c r="M63" s="41"/>
      <c r="N63" s="41"/>
      <c r="O63" s="45"/>
      <c r="P63" s="41"/>
      <c r="Q63" s="41"/>
      <c r="R63" s="41"/>
      <c r="S63" s="46"/>
      <c r="T63" s="46"/>
      <c r="U63" s="47"/>
      <c r="V63" s="47"/>
      <c r="W63" s="48"/>
      <c r="X63" s="49"/>
      <c r="Y63" s="49"/>
      <c r="Z63" s="47"/>
      <c r="AA63" s="47"/>
      <c r="AB63" s="47"/>
      <c r="AC63" s="34"/>
      <c r="AD63" s="34"/>
    </row>
    <row r="64" spans="1:30" ht="22.5" customHeight="1" x14ac:dyDescent="0.35">
      <c r="A64" s="41"/>
      <c r="B64" s="42"/>
      <c r="C64" s="42"/>
      <c r="D64" s="41"/>
      <c r="E64" s="41"/>
      <c r="F64" s="42"/>
      <c r="G64" s="43"/>
      <c r="H64" s="44"/>
      <c r="I64" s="41"/>
      <c r="J64" s="41"/>
      <c r="K64" s="41"/>
      <c r="L64" s="41"/>
      <c r="M64" s="41"/>
      <c r="N64" s="41"/>
      <c r="O64" s="45"/>
      <c r="P64" s="41"/>
      <c r="Q64" s="41"/>
      <c r="R64" s="41"/>
      <c r="S64" s="46"/>
      <c r="T64" s="46"/>
      <c r="U64" s="47"/>
      <c r="V64" s="47"/>
      <c r="W64" s="48"/>
      <c r="X64" s="49"/>
      <c r="Y64" s="49"/>
      <c r="Z64" s="47"/>
      <c r="AA64" s="47"/>
      <c r="AB64" s="47"/>
      <c r="AC64" s="34"/>
      <c r="AD64" s="34"/>
    </row>
    <row r="65" spans="1:30" ht="22.5" customHeight="1" x14ac:dyDescent="0.35">
      <c r="A65" s="41"/>
      <c r="B65" s="42"/>
      <c r="C65" s="42"/>
      <c r="D65" s="41"/>
      <c r="E65" s="41"/>
      <c r="F65" s="42"/>
      <c r="G65" s="43"/>
      <c r="H65" s="44"/>
      <c r="I65" s="41"/>
      <c r="J65" s="41"/>
      <c r="K65" s="41"/>
      <c r="L65" s="41"/>
      <c r="M65" s="41"/>
      <c r="N65" s="41"/>
      <c r="O65" s="45"/>
      <c r="P65" s="41"/>
      <c r="Q65" s="41"/>
      <c r="R65" s="41"/>
      <c r="S65" s="46"/>
      <c r="T65" s="46"/>
      <c r="U65" s="47"/>
      <c r="V65" s="47"/>
      <c r="W65" s="48"/>
      <c r="X65" s="49"/>
      <c r="Y65" s="49"/>
      <c r="Z65" s="47"/>
      <c r="AA65" s="47"/>
      <c r="AB65" s="47"/>
      <c r="AC65" s="34"/>
      <c r="AD65" s="34"/>
    </row>
    <row r="66" spans="1:30" ht="22.5" customHeight="1" x14ac:dyDescent="0.35">
      <c r="A66" s="41"/>
      <c r="B66" s="42"/>
      <c r="C66" s="42"/>
      <c r="D66" s="41"/>
      <c r="E66" s="41"/>
      <c r="F66" s="42"/>
      <c r="G66" s="43"/>
      <c r="H66" s="44"/>
      <c r="I66" s="41"/>
      <c r="J66" s="41"/>
      <c r="K66" s="41"/>
      <c r="L66" s="41"/>
      <c r="M66" s="41"/>
      <c r="N66" s="41"/>
      <c r="O66" s="45"/>
      <c r="P66" s="41"/>
      <c r="Q66" s="41"/>
      <c r="R66" s="41"/>
      <c r="S66" s="46"/>
      <c r="T66" s="46"/>
      <c r="U66" s="47"/>
      <c r="V66" s="47"/>
      <c r="W66" s="48"/>
      <c r="X66" s="49"/>
      <c r="Y66" s="49"/>
      <c r="Z66" s="47"/>
      <c r="AA66" s="47"/>
      <c r="AB66" s="47"/>
      <c r="AC66" s="34"/>
      <c r="AD66" s="34"/>
    </row>
    <row r="67" spans="1:30" ht="22.5" customHeight="1" x14ac:dyDescent="0.35">
      <c r="A67" s="41"/>
      <c r="B67" s="42"/>
      <c r="C67" s="42"/>
      <c r="D67" s="41"/>
      <c r="E67" s="41"/>
      <c r="F67" s="42"/>
      <c r="G67" s="43"/>
      <c r="H67" s="44"/>
      <c r="I67" s="41"/>
      <c r="J67" s="41"/>
      <c r="K67" s="41"/>
      <c r="L67" s="41"/>
      <c r="M67" s="41"/>
      <c r="N67" s="41"/>
      <c r="O67" s="45"/>
      <c r="P67" s="41"/>
      <c r="Q67" s="41"/>
      <c r="R67" s="41"/>
      <c r="S67" s="46"/>
      <c r="T67" s="46"/>
      <c r="U67" s="47"/>
      <c r="V67" s="47"/>
      <c r="W67" s="48"/>
      <c r="X67" s="49"/>
      <c r="Y67" s="49"/>
      <c r="Z67" s="47"/>
      <c r="AA67" s="47"/>
      <c r="AB67" s="47"/>
      <c r="AC67" s="34"/>
      <c r="AD67" s="34"/>
    </row>
    <row r="68" spans="1:30" ht="22.5" customHeight="1" x14ac:dyDescent="0.35">
      <c r="A68" s="41"/>
      <c r="B68" s="42"/>
      <c r="C68" s="42"/>
      <c r="D68" s="41"/>
      <c r="E68" s="41"/>
      <c r="F68" s="42"/>
      <c r="G68" s="43"/>
      <c r="H68" s="44"/>
      <c r="I68" s="41"/>
      <c r="J68" s="41"/>
      <c r="K68" s="41"/>
      <c r="L68" s="41"/>
      <c r="M68" s="41"/>
      <c r="N68" s="41"/>
      <c r="O68" s="45"/>
      <c r="P68" s="41"/>
      <c r="Q68" s="41"/>
      <c r="R68" s="41"/>
      <c r="S68" s="46"/>
      <c r="T68" s="46"/>
      <c r="U68" s="47"/>
      <c r="V68" s="47"/>
      <c r="W68" s="48"/>
      <c r="X68" s="49"/>
      <c r="Y68" s="49"/>
      <c r="Z68" s="47"/>
      <c r="AA68" s="47"/>
      <c r="AB68" s="47"/>
      <c r="AC68" s="34"/>
      <c r="AD68" s="34"/>
    </row>
    <row r="69" spans="1:30" ht="22.5" customHeight="1" x14ac:dyDescent="0.35">
      <c r="A69" s="41"/>
      <c r="B69" s="42"/>
      <c r="C69" s="42"/>
      <c r="D69" s="41"/>
      <c r="E69" s="41"/>
      <c r="F69" s="42"/>
      <c r="G69" s="43"/>
      <c r="H69" s="44"/>
      <c r="I69" s="41"/>
      <c r="J69" s="41"/>
      <c r="K69" s="41"/>
      <c r="L69" s="41"/>
      <c r="M69" s="41"/>
      <c r="N69" s="41"/>
      <c r="O69" s="45"/>
      <c r="P69" s="41"/>
      <c r="Q69" s="41"/>
      <c r="R69" s="41"/>
      <c r="S69" s="46"/>
      <c r="T69" s="46"/>
      <c r="U69" s="47"/>
      <c r="V69" s="47"/>
      <c r="W69" s="48"/>
      <c r="X69" s="49"/>
      <c r="Y69" s="49"/>
      <c r="Z69" s="47"/>
      <c r="AA69" s="47"/>
      <c r="AB69" s="47"/>
      <c r="AC69" s="34"/>
      <c r="AD69" s="34"/>
    </row>
    <row r="70" spans="1:30" ht="22.5" customHeight="1" x14ac:dyDescent="0.35">
      <c r="A70" s="41"/>
      <c r="B70" s="42"/>
      <c r="C70" s="42"/>
      <c r="D70" s="41"/>
      <c r="E70" s="41"/>
      <c r="F70" s="42"/>
      <c r="G70" s="43"/>
      <c r="H70" s="44"/>
      <c r="I70" s="41"/>
      <c r="J70" s="41"/>
      <c r="K70" s="41"/>
      <c r="L70" s="41"/>
      <c r="M70" s="41"/>
      <c r="N70" s="41"/>
      <c r="O70" s="45"/>
      <c r="P70" s="41"/>
      <c r="Q70" s="41"/>
      <c r="R70" s="41"/>
      <c r="S70" s="46"/>
      <c r="T70" s="46"/>
      <c r="U70" s="47"/>
      <c r="V70" s="47"/>
      <c r="W70" s="48"/>
      <c r="X70" s="49"/>
      <c r="Y70" s="49"/>
      <c r="Z70" s="47"/>
      <c r="AA70" s="47"/>
      <c r="AB70" s="47"/>
      <c r="AC70" s="34"/>
      <c r="AD70" s="34"/>
    </row>
    <row r="71" spans="1:30" ht="22.5" customHeight="1" x14ac:dyDescent="0.35">
      <c r="A71" s="41"/>
      <c r="B71" s="42"/>
      <c r="C71" s="42"/>
      <c r="D71" s="41"/>
      <c r="E71" s="41"/>
      <c r="F71" s="42"/>
      <c r="G71" s="43"/>
      <c r="H71" s="44"/>
      <c r="I71" s="41"/>
      <c r="J71" s="41"/>
      <c r="K71" s="41"/>
      <c r="L71" s="41"/>
      <c r="M71" s="41"/>
      <c r="N71" s="41"/>
      <c r="O71" s="45"/>
      <c r="P71" s="41"/>
      <c r="Q71" s="41"/>
      <c r="R71" s="41"/>
      <c r="S71" s="46"/>
      <c r="T71" s="46"/>
      <c r="U71" s="47"/>
      <c r="V71" s="47"/>
      <c r="W71" s="48"/>
      <c r="X71" s="49"/>
      <c r="Y71" s="49"/>
      <c r="Z71" s="47"/>
      <c r="AA71" s="47"/>
      <c r="AB71" s="47"/>
      <c r="AC71" s="34"/>
      <c r="AD71" s="34"/>
    </row>
    <row r="72" spans="1:30" ht="22.5" customHeight="1" x14ac:dyDescent="0.35">
      <c r="A72" s="41"/>
      <c r="B72" s="42"/>
      <c r="C72" s="42"/>
      <c r="D72" s="41"/>
      <c r="E72" s="41"/>
      <c r="F72" s="42"/>
      <c r="G72" s="43"/>
      <c r="H72" s="44"/>
      <c r="I72" s="41"/>
      <c r="J72" s="41"/>
      <c r="K72" s="41"/>
      <c r="L72" s="41"/>
      <c r="M72" s="41"/>
      <c r="N72" s="41"/>
      <c r="O72" s="45"/>
      <c r="P72" s="41"/>
      <c r="Q72" s="41"/>
      <c r="R72" s="41"/>
      <c r="S72" s="46"/>
      <c r="T72" s="46"/>
      <c r="U72" s="47"/>
      <c r="V72" s="47"/>
      <c r="W72" s="48"/>
      <c r="X72" s="49"/>
      <c r="Y72" s="49"/>
      <c r="Z72" s="47"/>
      <c r="AA72" s="47"/>
      <c r="AB72" s="47"/>
      <c r="AC72" s="34"/>
      <c r="AD72" s="34"/>
    </row>
    <row r="73" spans="1:30" ht="22.5" customHeight="1" x14ac:dyDescent="0.35">
      <c r="A73" s="41"/>
      <c r="B73" s="42"/>
      <c r="C73" s="42"/>
      <c r="D73" s="41"/>
      <c r="E73" s="41"/>
      <c r="F73" s="42"/>
      <c r="G73" s="43"/>
      <c r="H73" s="44"/>
      <c r="I73" s="41"/>
      <c r="J73" s="41"/>
      <c r="K73" s="41"/>
      <c r="L73" s="41"/>
      <c r="M73" s="41"/>
      <c r="N73" s="41"/>
      <c r="O73" s="45"/>
      <c r="P73" s="41"/>
      <c r="Q73" s="41"/>
      <c r="R73" s="41"/>
      <c r="S73" s="46"/>
      <c r="T73" s="46"/>
      <c r="U73" s="47"/>
      <c r="V73" s="47"/>
      <c r="W73" s="48"/>
      <c r="X73" s="49"/>
      <c r="Y73" s="49"/>
      <c r="Z73" s="47"/>
      <c r="AA73" s="47"/>
      <c r="AB73" s="47"/>
      <c r="AC73" s="34"/>
      <c r="AD73" s="34"/>
    </row>
    <row r="74" spans="1:30" ht="22.5" customHeight="1" x14ac:dyDescent="0.35">
      <c r="A74" s="41"/>
      <c r="B74" s="42"/>
      <c r="C74" s="42"/>
      <c r="D74" s="41"/>
      <c r="E74" s="41"/>
      <c r="F74" s="42"/>
      <c r="G74" s="43"/>
      <c r="H74" s="44"/>
      <c r="I74" s="41"/>
      <c r="J74" s="41"/>
      <c r="K74" s="41"/>
      <c r="L74" s="41"/>
      <c r="M74" s="41"/>
      <c r="N74" s="41"/>
      <c r="O74" s="45"/>
      <c r="P74" s="41"/>
      <c r="Q74" s="41"/>
      <c r="R74" s="41"/>
      <c r="S74" s="46"/>
      <c r="T74" s="46"/>
      <c r="U74" s="47"/>
      <c r="V74" s="47"/>
      <c r="W74" s="48"/>
      <c r="X74" s="49"/>
      <c r="Y74" s="49"/>
      <c r="Z74" s="47"/>
      <c r="AA74" s="47"/>
      <c r="AB74" s="47"/>
      <c r="AC74" s="34"/>
      <c r="AD74" s="34"/>
    </row>
    <row r="75" spans="1:30" ht="22.5" customHeight="1" x14ac:dyDescent="0.35">
      <c r="A75" s="41"/>
      <c r="B75" s="42"/>
      <c r="C75" s="42"/>
      <c r="D75" s="41"/>
      <c r="E75" s="41"/>
      <c r="F75" s="42"/>
      <c r="G75" s="43"/>
      <c r="H75" s="44"/>
      <c r="I75" s="41"/>
      <c r="J75" s="41"/>
      <c r="K75" s="41"/>
      <c r="L75" s="41"/>
      <c r="M75" s="41"/>
      <c r="N75" s="41"/>
      <c r="O75" s="45"/>
      <c r="P75" s="41"/>
      <c r="Q75" s="41"/>
      <c r="R75" s="41"/>
      <c r="S75" s="46"/>
      <c r="T75" s="46"/>
      <c r="U75" s="47"/>
      <c r="V75" s="47"/>
      <c r="W75" s="48"/>
      <c r="X75" s="49"/>
      <c r="Y75" s="49"/>
      <c r="Z75" s="47"/>
      <c r="AA75" s="47"/>
      <c r="AB75" s="47"/>
      <c r="AC75" s="34"/>
      <c r="AD75" s="34"/>
    </row>
    <row r="76" spans="1:30" ht="22.5" customHeight="1" x14ac:dyDescent="0.35">
      <c r="A76" s="41"/>
      <c r="B76" s="42"/>
      <c r="C76" s="42"/>
      <c r="D76" s="41"/>
      <c r="E76" s="41"/>
      <c r="F76" s="42"/>
      <c r="G76" s="43"/>
      <c r="H76" s="44"/>
      <c r="I76" s="41"/>
      <c r="J76" s="41"/>
      <c r="K76" s="41"/>
      <c r="L76" s="41"/>
      <c r="M76" s="41"/>
      <c r="N76" s="41"/>
      <c r="O76" s="45"/>
      <c r="P76" s="41"/>
      <c r="Q76" s="41"/>
      <c r="R76" s="41"/>
      <c r="S76" s="46"/>
      <c r="T76" s="46"/>
      <c r="U76" s="47"/>
      <c r="V76" s="47"/>
      <c r="W76" s="48"/>
      <c r="X76" s="49"/>
      <c r="Y76" s="49"/>
      <c r="Z76" s="47"/>
      <c r="AA76" s="47"/>
      <c r="AB76" s="47"/>
      <c r="AC76" s="34"/>
      <c r="AD76" s="34"/>
    </row>
    <row r="77" spans="1:30" ht="22.5" customHeight="1" x14ac:dyDescent="0.35">
      <c r="A77" s="41"/>
      <c r="B77" s="42"/>
      <c r="C77" s="42"/>
      <c r="D77" s="41"/>
      <c r="E77" s="41"/>
      <c r="F77" s="42"/>
      <c r="G77" s="43"/>
      <c r="H77" s="44"/>
      <c r="I77" s="41"/>
      <c r="J77" s="41"/>
      <c r="K77" s="41"/>
      <c r="L77" s="41"/>
      <c r="M77" s="41"/>
      <c r="N77" s="41"/>
      <c r="O77" s="45"/>
      <c r="P77" s="41"/>
      <c r="Q77" s="41"/>
      <c r="R77" s="41"/>
      <c r="S77" s="46"/>
      <c r="T77" s="46"/>
      <c r="U77" s="47"/>
      <c r="V77" s="47"/>
      <c r="W77" s="48"/>
      <c r="X77" s="49"/>
      <c r="Y77" s="49"/>
      <c r="Z77" s="47"/>
      <c r="AA77" s="47"/>
      <c r="AB77" s="47"/>
      <c r="AC77" s="34"/>
      <c r="AD77" s="34"/>
    </row>
    <row r="78" spans="1:30" ht="22.5" customHeight="1" x14ac:dyDescent="0.35">
      <c r="A78" s="41"/>
      <c r="B78" s="42"/>
      <c r="C78" s="42"/>
      <c r="D78" s="41"/>
      <c r="E78" s="41"/>
      <c r="F78" s="42"/>
      <c r="G78" s="43"/>
      <c r="H78" s="44"/>
      <c r="I78" s="41"/>
      <c r="J78" s="41"/>
      <c r="K78" s="41"/>
      <c r="L78" s="41"/>
      <c r="M78" s="41"/>
      <c r="N78" s="41"/>
      <c r="O78" s="45"/>
      <c r="P78" s="41"/>
      <c r="Q78" s="41"/>
      <c r="R78" s="41"/>
      <c r="S78" s="46"/>
      <c r="T78" s="46"/>
      <c r="U78" s="47"/>
      <c r="V78" s="47"/>
      <c r="W78" s="48"/>
      <c r="X78" s="49"/>
      <c r="Y78" s="49"/>
      <c r="Z78" s="47"/>
      <c r="AA78" s="47"/>
      <c r="AB78" s="47"/>
      <c r="AC78" s="34"/>
      <c r="AD78" s="34"/>
    </row>
    <row r="79" spans="1:30" ht="22.5" customHeight="1" x14ac:dyDescent="0.35">
      <c r="A79" s="41"/>
      <c r="B79" s="42"/>
      <c r="C79" s="42"/>
      <c r="D79" s="41"/>
      <c r="E79" s="41"/>
      <c r="F79" s="42"/>
      <c r="G79" s="43"/>
      <c r="H79" s="44"/>
      <c r="I79" s="41"/>
      <c r="J79" s="41"/>
      <c r="K79" s="41"/>
      <c r="L79" s="41"/>
      <c r="M79" s="41"/>
      <c r="N79" s="41"/>
      <c r="O79" s="45"/>
      <c r="P79" s="41"/>
      <c r="Q79" s="41"/>
      <c r="R79" s="41"/>
      <c r="S79" s="46"/>
      <c r="T79" s="46"/>
      <c r="U79" s="47"/>
      <c r="V79" s="47"/>
      <c r="W79" s="48"/>
      <c r="X79" s="49"/>
      <c r="Y79" s="49"/>
      <c r="Z79" s="47"/>
      <c r="AA79" s="47"/>
      <c r="AB79" s="47"/>
      <c r="AC79" s="34"/>
      <c r="AD79" s="34"/>
    </row>
    <row r="80" spans="1:30" ht="22.5" customHeight="1" x14ac:dyDescent="0.35">
      <c r="A80" s="41"/>
      <c r="B80" s="42"/>
      <c r="C80" s="42"/>
      <c r="D80" s="41"/>
      <c r="E80" s="41"/>
      <c r="F80" s="42"/>
      <c r="G80" s="43"/>
      <c r="H80" s="44"/>
      <c r="I80" s="41"/>
      <c r="J80" s="41"/>
      <c r="K80" s="41"/>
      <c r="L80" s="41"/>
      <c r="M80" s="41"/>
      <c r="N80" s="41"/>
      <c r="O80" s="45"/>
      <c r="P80" s="41"/>
      <c r="Q80" s="41"/>
      <c r="R80" s="41"/>
      <c r="S80" s="46"/>
      <c r="T80" s="46"/>
      <c r="U80" s="47"/>
      <c r="V80" s="47"/>
      <c r="W80" s="48"/>
      <c r="X80" s="49"/>
      <c r="Y80" s="49"/>
      <c r="Z80" s="47"/>
      <c r="AA80" s="47"/>
      <c r="AB80" s="47"/>
      <c r="AC80" s="34"/>
      <c r="AD80" s="34"/>
    </row>
    <row r="81" spans="1:30" ht="22.5" customHeight="1" x14ac:dyDescent="0.35">
      <c r="A81" s="41"/>
      <c r="B81" s="42"/>
      <c r="C81" s="42"/>
      <c r="D81" s="41"/>
      <c r="E81" s="41"/>
      <c r="F81" s="42"/>
      <c r="G81" s="43"/>
      <c r="H81" s="44"/>
      <c r="I81" s="41"/>
      <c r="J81" s="41"/>
      <c r="K81" s="41"/>
      <c r="L81" s="41"/>
      <c r="M81" s="41"/>
      <c r="N81" s="41"/>
      <c r="O81" s="45"/>
      <c r="P81" s="41"/>
      <c r="Q81" s="41"/>
      <c r="R81" s="41"/>
      <c r="S81" s="46"/>
      <c r="T81" s="46"/>
      <c r="U81" s="47"/>
      <c r="V81" s="47"/>
      <c r="W81" s="48"/>
      <c r="X81" s="49"/>
      <c r="Y81" s="49"/>
      <c r="Z81" s="47"/>
      <c r="AA81" s="47"/>
      <c r="AB81" s="47"/>
      <c r="AC81" s="34"/>
      <c r="AD81" s="34"/>
    </row>
    <row r="82" spans="1:30" ht="22.5" customHeight="1" x14ac:dyDescent="0.35">
      <c r="A82" s="41"/>
      <c r="B82" s="42"/>
      <c r="C82" s="42"/>
      <c r="D82" s="41"/>
      <c r="E82" s="41"/>
      <c r="F82" s="42"/>
      <c r="G82" s="43"/>
      <c r="H82" s="44"/>
      <c r="I82" s="41"/>
      <c r="J82" s="41"/>
      <c r="K82" s="41"/>
      <c r="L82" s="41"/>
      <c r="M82" s="41"/>
      <c r="N82" s="41"/>
      <c r="O82" s="45"/>
      <c r="P82" s="41"/>
      <c r="Q82" s="41"/>
      <c r="R82" s="41"/>
      <c r="S82" s="46"/>
      <c r="T82" s="46"/>
      <c r="U82" s="47"/>
      <c r="V82" s="47"/>
      <c r="W82" s="48"/>
      <c r="X82" s="49"/>
      <c r="Y82" s="49"/>
      <c r="Z82" s="47"/>
      <c r="AA82" s="47"/>
      <c r="AB82" s="47"/>
      <c r="AC82" s="34"/>
      <c r="AD82" s="34"/>
    </row>
    <row r="83" spans="1:30" ht="22.5" customHeight="1" x14ac:dyDescent="0.35">
      <c r="A83" s="41"/>
      <c r="B83" s="42"/>
      <c r="C83" s="42"/>
      <c r="D83" s="41"/>
      <c r="E83" s="41"/>
      <c r="F83" s="42"/>
      <c r="G83" s="43"/>
      <c r="H83" s="44"/>
      <c r="I83" s="41"/>
      <c r="J83" s="41"/>
      <c r="K83" s="41"/>
      <c r="L83" s="41"/>
      <c r="M83" s="41"/>
      <c r="N83" s="41"/>
      <c r="O83" s="45"/>
      <c r="P83" s="41"/>
      <c r="Q83" s="41"/>
      <c r="R83" s="41"/>
      <c r="S83" s="46"/>
      <c r="T83" s="46"/>
      <c r="U83" s="47"/>
      <c r="V83" s="47"/>
      <c r="W83" s="48"/>
      <c r="X83" s="49"/>
      <c r="Y83" s="49"/>
      <c r="Z83" s="47"/>
      <c r="AA83" s="47"/>
      <c r="AB83" s="47"/>
      <c r="AC83" s="34"/>
      <c r="AD83" s="34"/>
    </row>
    <row r="84" spans="1:30" ht="22.5" customHeight="1" x14ac:dyDescent="0.35">
      <c r="A84" s="41"/>
      <c r="B84" s="42"/>
      <c r="C84" s="42"/>
      <c r="D84" s="41"/>
      <c r="E84" s="41"/>
      <c r="F84" s="42"/>
      <c r="G84" s="43"/>
      <c r="H84" s="44"/>
      <c r="I84" s="41"/>
      <c r="J84" s="41"/>
      <c r="K84" s="41"/>
      <c r="L84" s="41"/>
      <c r="M84" s="41"/>
      <c r="N84" s="41"/>
      <c r="O84" s="45"/>
      <c r="P84" s="41"/>
      <c r="Q84" s="41"/>
      <c r="R84" s="41"/>
      <c r="S84" s="46"/>
      <c r="T84" s="46"/>
      <c r="U84" s="47"/>
      <c r="V84" s="47"/>
      <c r="W84" s="48"/>
      <c r="X84" s="49"/>
      <c r="Y84" s="49"/>
      <c r="Z84" s="47"/>
      <c r="AA84" s="47"/>
      <c r="AB84" s="47"/>
      <c r="AC84" s="34"/>
      <c r="AD84" s="34"/>
    </row>
    <row r="85" spans="1:30" ht="22.5" customHeight="1" x14ac:dyDescent="0.35">
      <c r="A85" s="41"/>
      <c r="B85" s="42"/>
      <c r="C85" s="42"/>
      <c r="D85" s="41"/>
      <c r="E85" s="41"/>
      <c r="F85" s="42"/>
      <c r="G85" s="43"/>
      <c r="H85" s="44"/>
      <c r="I85" s="41"/>
      <c r="J85" s="41"/>
      <c r="K85" s="41"/>
      <c r="L85" s="41"/>
      <c r="M85" s="41"/>
      <c r="N85" s="41"/>
      <c r="O85" s="45"/>
      <c r="P85" s="41"/>
      <c r="Q85" s="41"/>
      <c r="R85" s="41"/>
      <c r="S85" s="46"/>
      <c r="T85" s="46"/>
      <c r="U85" s="47"/>
      <c r="V85" s="47"/>
      <c r="W85" s="48"/>
      <c r="X85" s="49"/>
      <c r="Y85" s="49"/>
      <c r="Z85" s="47"/>
      <c r="AA85" s="47"/>
      <c r="AB85" s="47"/>
      <c r="AC85" s="34"/>
      <c r="AD85" s="34"/>
    </row>
    <row r="86" spans="1:30" ht="22.5" customHeight="1" x14ac:dyDescent="0.35">
      <c r="A86" s="41"/>
      <c r="B86" s="42"/>
      <c r="C86" s="42"/>
      <c r="D86" s="41"/>
      <c r="E86" s="41"/>
      <c r="F86" s="42"/>
      <c r="G86" s="43"/>
      <c r="H86" s="44"/>
      <c r="I86" s="41"/>
      <c r="J86" s="41"/>
      <c r="K86" s="41"/>
      <c r="L86" s="41"/>
      <c r="M86" s="41"/>
      <c r="N86" s="41"/>
      <c r="O86" s="45"/>
      <c r="P86" s="41"/>
      <c r="Q86" s="41"/>
      <c r="R86" s="41"/>
      <c r="S86" s="46"/>
      <c r="T86" s="46"/>
      <c r="U86" s="47"/>
      <c r="V86" s="47"/>
      <c r="W86" s="48"/>
      <c r="X86" s="49"/>
      <c r="Y86" s="49"/>
      <c r="Z86" s="47"/>
      <c r="AA86" s="47"/>
      <c r="AB86" s="47"/>
      <c r="AC86" s="34"/>
      <c r="AD86" s="34"/>
    </row>
    <row r="87" spans="1:30" ht="22.5" customHeight="1" x14ac:dyDescent="0.35">
      <c r="A87" s="41"/>
      <c r="B87" s="42"/>
      <c r="C87" s="42"/>
      <c r="D87" s="41"/>
      <c r="E87" s="41"/>
      <c r="F87" s="42"/>
      <c r="G87" s="43"/>
      <c r="H87" s="44"/>
      <c r="I87" s="41"/>
      <c r="J87" s="41"/>
      <c r="K87" s="41"/>
      <c r="L87" s="41"/>
      <c r="M87" s="41"/>
      <c r="N87" s="41"/>
      <c r="O87" s="45"/>
      <c r="P87" s="41"/>
      <c r="Q87" s="41"/>
      <c r="R87" s="41"/>
      <c r="S87" s="46"/>
      <c r="T87" s="46"/>
      <c r="U87" s="47"/>
      <c r="V87" s="47"/>
      <c r="W87" s="48"/>
      <c r="X87" s="49"/>
      <c r="Y87" s="49"/>
      <c r="Z87" s="47"/>
      <c r="AA87" s="47"/>
      <c r="AB87" s="47"/>
      <c r="AC87" s="34"/>
      <c r="AD87" s="34"/>
    </row>
    <row r="88" spans="1:30" ht="22.5" customHeight="1" x14ac:dyDescent="0.35">
      <c r="A88" s="41"/>
      <c r="B88" s="42"/>
      <c r="C88" s="42"/>
      <c r="D88" s="41"/>
      <c r="E88" s="41"/>
      <c r="F88" s="42"/>
      <c r="G88" s="43"/>
      <c r="H88" s="44"/>
      <c r="I88" s="41"/>
      <c r="J88" s="41"/>
      <c r="K88" s="41"/>
      <c r="L88" s="41"/>
      <c r="M88" s="41"/>
      <c r="N88" s="41"/>
      <c r="O88" s="45"/>
      <c r="P88" s="41"/>
      <c r="Q88" s="41"/>
      <c r="R88" s="41"/>
      <c r="S88" s="46"/>
      <c r="T88" s="46"/>
      <c r="U88" s="47"/>
      <c r="V88" s="47"/>
      <c r="W88" s="48"/>
      <c r="X88" s="49"/>
      <c r="Y88" s="49"/>
      <c r="Z88" s="47"/>
      <c r="AA88" s="47"/>
      <c r="AB88" s="47"/>
      <c r="AC88" s="34"/>
      <c r="AD88" s="34"/>
    </row>
    <row r="89" spans="1:30" ht="22.5" customHeight="1" x14ac:dyDescent="0.35">
      <c r="A89" s="41"/>
      <c r="B89" s="42"/>
      <c r="C89" s="42"/>
      <c r="D89" s="41"/>
      <c r="E89" s="41"/>
      <c r="F89" s="42"/>
      <c r="G89" s="43"/>
      <c r="H89" s="44"/>
      <c r="I89" s="41"/>
      <c r="J89" s="41"/>
      <c r="K89" s="41"/>
      <c r="L89" s="41"/>
      <c r="M89" s="41"/>
      <c r="N89" s="41"/>
      <c r="O89" s="45"/>
      <c r="P89" s="41"/>
      <c r="Q89" s="41"/>
      <c r="R89" s="41"/>
      <c r="S89" s="46"/>
      <c r="T89" s="46"/>
      <c r="U89" s="47"/>
      <c r="V89" s="47"/>
      <c r="W89" s="48"/>
      <c r="X89" s="49"/>
      <c r="Y89" s="49"/>
      <c r="Z89" s="47"/>
      <c r="AA89" s="47"/>
      <c r="AB89" s="47"/>
      <c r="AC89" s="34"/>
      <c r="AD89" s="34"/>
    </row>
    <row r="90" spans="1:30" ht="22.5" customHeight="1" x14ac:dyDescent="0.35">
      <c r="A90" s="41"/>
      <c r="B90" s="42"/>
      <c r="C90" s="42"/>
      <c r="D90" s="41"/>
      <c r="E90" s="41"/>
      <c r="F90" s="42"/>
      <c r="G90" s="43"/>
      <c r="H90" s="44"/>
      <c r="I90" s="41"/>
      <c r="J90" s="41"/>
      <c r="K90" s="41"/>
      <c r="L90" s="41"/>
      <c r="M90" s="41"/>
      <c r="N90" s="41"/>
      <c r="O90" s="45"/>
      <c r="P90" s="41"/>
      <c r="Q90" s="41"/>
      <c r="R90" s="41"/>
      <c r="S90" s="46"/>
      <c r="T90" s="46"/>
      <c r="U90" s="47"/>
      <c r="V90" s="47"/>
      <c r="W90" s="48"/>
      <c r="X90" s="49"/>
      <c r="Y90" s="49"/>
      <c r="Z90" s="47"/>
      <c r="AA90" s="47"/>
      <c r="AB90" s="47"/>
      <c r="AC90" s="34"/>
      <c r="AD90" s="34"/>
    </row>
    <row r="91" spans="1:30" ht="22.5" customHeight="1" x14ac:dyDescent="0.35">
      <c r="A91" s="41"/>
      <c r="B91" s="42"/>
      <c r="C91" s="42"/>
      <c r="D91" s="41"/>
      <c r="E91" s="41"/>
      <c r="F91" s="42"/>
      <c r="G91" s="43"/>
      <c r="H91" s="44"/>
      <c r="I91" s="41"/>
      <c r="J91" s="41"/>
      <c r="K91" s="41"/>
      <c r="L91" s="41"/>
      <c r="M91" s="41"/>
      <c r="N91" s="41"/>
      <c r="O91" s="45"/>
      <c r="P91" s="41"/>
      <c r="Q91" s="41"/>
      <c r="R91" s="41"/>
      <c r="S91" s="46"/>
      <c r="T91" s="46"/>
      <c r="U91" s="47"/>
      <c r="V91" s="47"/>
      <c r="W91" s="48"/>
      <c r="X91" s="49"/>
      <c r="Y91" s="49"/>
      <c r="Z91" s="47"/>
      <c r="AA91" s="47"/>
      <c r="AB91" s="47"/>
      <c r="AC91" s="34"/>
      <c r="AD91" s="34"/>
    </row>
    <row r="92" spans="1:30" ht="22.5" customHeight="1" x14ac:dyDescent="0.35">
      <c r="A92" s="41"/>
      <c r="B92" s="42"/>
      <c r="C92" s="42"/>
      <c r="D92" s="41"/>
      <c r="E92" s="41"/>
      <c r="F92" s="42"/>
      <c r="G92" s="43"/>
      <c r="H92" s="44"/>
      <c r="I92" s="41"/>
      <c r="J92" s="41"/>
      <c r="K92" s="41"/>
      <c r="L92" s="41"/>
      <c r="M92" s="41"/>
      <c r="N92" s="41"/>
      <c r="O92" s="45"/>
      <c r="P92" s="41"/>
      <c r="Q92" s="41"/>
      <c r="R92" s="41"/>
      <c r="S92" s="46"/>
      <c r="T92" s="46"/>
      <c r="U92" s="47"/>
      <c r="V92" s="47"/>
      <c r="W92" s="48"/>
      <c r="X92" s="49"/>
      <c r="Y92" s="49"/>
      <c r="Z92" s="47"/>
      <c r="AA92" s="47"/>
      <c r="AB92" s="47"/>
      <c r="AC92" s="34"/>
      <c r="AD92" s="34"/>
    </row>
    <row r="93" spans="1:30" ht="22.5" customHeight="1" x14ac:dyDescent="0.35">
      <c r="A93" s="41"/>
      <c r="B93" s="42"/>
      <c r="C93" s="42"/>
      <c r="D93" s="41"/>
      <c r="E93" s="41"/>
      <c r="F93" s="42"/>
      <c r="G93" s="43"/>
      <c r="H93" s="44"/>
      <c r="I93" s="41"/>
      <c r="J93" s="41"/>
      <c r="K93" s="41"/>
      <c r="L93" s="41"/>
      <c r="M93" s="41"/>
      <c r="N93" s="41"/>
      <c r="O93" s="45"/>
      <c r="P93" s="41"/>
      <c r="Q93" s="41"/>
      <c r="R93" s="41"/>
      <c r="S93" s="46"/>
      <c r="T93" s="46"/>
      <c r="U93" s="47"/>
      <c r="V93" s="47"/>
      <c r="W93" s="48"/>
      <c r="X93" s="49"/>
      <c r="Y93" s="49"/>
      <c r="Z93" s="47"/>
      <c r="AA93" s="47"/>
      <c r="AB93" s="47"/>
      <c r="AC93" s="34"/>
      <c r="AD93" s="34"/>
    </row>
    <row r="94" spans="1:30" ht="22.5" customHeight="1" x14ac:dyDescent="0.35">
      <c r="A94" s="41"/>
      <c r="B94" s="42"/>
      <c r="C94" s="42"/>
      <c r="D94" s="41"/>
      <c r="E94" s="41"/>
      <c r="F94" s="42"/>
      <c r="G94" s="43"/>
      <c r="H94" s="44"/>
      <c r="I94" s="41"/>
      <c r="J94" s="41"/>
      <c r="K94" s="41"/>
      <c r="L94" s="41"/>
      <c r="M94" s="41"/>
      <c r="N94" s="41"/>
      <c r="O94" s="45"/>
      <c r="P94" s="41"/>
      <c r="Q94" s="41"/>
      <c r="R94" s="41"/>
      <c r="S94" s="46"/>
      <c r="T94" s="46"/>
      <c r="U94" s="47"/>
      <c r="V94" s="47"/>
      <c r="W94" s="48"/>
      <c r="X94" s="49"/>
      <c r="Y94" s="49"/>
      <c r="Z94" s="47"/>
      <c r="AA94" s="47"/>
      <c r="AB94" s="47"/>
      <c r="AC94" s="34"/>
      <c r="AD94" s="34"/>
    </row>
    <row r="95" spans="1:30" ht="22.5" customHeight="1" x14ac:dyDescent="0.35">
      <c r="A95" s="41"/>
      <c r="B95" s="42"/>
      <c r="C95" s="42"/>
      <c r="D95" s="41"/>
      <c r="E95" s="41"/>
      <c r="F95" s="42"/>
      <c r="G95" s="43"/>
      <c r="H95" s="44"/>
      <c r="I95" s="41"/>
      <c r="J95" s="41"/>
      <c r="K95" s="41"/>
      <c r="L95" s="41"/>
      <c r="M95" s="41"/>
      <c r="N95" s="41"/>
      <c r="O95" s="45"/>
      <c r="P95" s="41"/>
      <c r="Q95" s="41"/>
      <c r="R95" s="41"/>
      <c r="S95" s="46"/>
      <c r="T95" s="46"/>
      <c r="U95" s="47"/>
      <c r="V95" s="47"/>
      <c r="W95" s="48"/>
      <c r="X95" s="49"/>
      <c r="Y95" s="49"/>
      <c r="Z95" s="47"/>
      <c r="AA95" s="47"/>
      <c r="AB95" s="47"/>
      <c r="AC95" s="34"/>
      <c r="AD95" s="34"/>
    </row>
    <row r="96" spans="1:30" ht="22.5" customHeight="1" x14ac:dyDescent="0.35">
      <c r="A96" s="41"/>
      <c r="B96" s="42"/>
      <c r="C96" s="42"/>
      <c r="D96" s="41"/>
      <c r="E96" s="41"/>
      <c r="F96" s="42"/>
      <c r="G96" s="43"/>
      <c r="H96" s="44"/>
      <c r="I96" s="41"/>
      <c r="J96" s="41"/>
      <c r="K96" s="41"/>
      <c r="L96" s="41"/>
      <c r="M96" s="41"/>
      <c r="N96" s="41"/>
      <c r="O96" s="45"/>
      <c r="P96" s="41"/>
      <c r="Q96" s="41"/>
      <c r="R96" s="41"/>
      <c r="S96" s="46"/>
      <c r="T96" s="46"/>
      <c r="U96" s="47"/>
      <c r="V96" s="47"/>
      <c r="W96" s="48"/>
      <c r="X96" s="49"/>
      <c r="Y96" s="49"/>
      <c r="Z96" s="47"/>
      <c r="AA96" s="47"/>
      <c r="AB96" s="47"/>
      <c r="AC96" s="34"/>
      <c r="AD96" s="34"/>
    </row>
    <row r="97" spans="1:30" ht="22.5" customHeight="1" x14ac:dyDescent="0.35">
      <c r="A97" s="41"/>
      <c r="B97" s="42"/>
      <c r="C97" s="42"/>
      <c r="D97" s="41"/>
      <c r="E97" s="41"/>
      <c r="F97" s="42"/>
      <c r="G97" s="43"/>
      <c r="H97" s="44"/>
      <c r="I97" s="41"/>
      <c r="J97" s="41"/>
      <c r="K97" s="41"/>
      <c r="L97" s="41"/>
      <c r="M97" s="41"/>
      <c r="N97" s="41"/>
      <c r="O97" s="45"/>
      <c r="P97" s="41"/>
      <c r="Q97" s="41"/>
      <c r="R97" s="41"/>
      <c r="S97" s="46"/>
      <c r="T97" s="46"/>
      <c r="U97" s="47"/>
      <c r="V97" s="47"/>
      <c r="W97" s="48"/>
      <c r="X97" s="49"/>
      <c r="Y97" s="49"/>
      <c r="Z97" s="47"/>
      <c r="AA97" s="47"/>
      <c r="AB97" s="47"/>
      <c r="AC97" s="34"/>
      <c r="AD97" s="34"/>
    </row>
    <row r="98" spans="1:30" ht="22.5" customHeight="1" x14ac:dyDescent="0.35">
      <c r="A98" s="41"/>
      <c r="B98" s="42"/>
      <c r="C98" s="42"/>
      <c r="D98" s="41"/>
      <c r="E98" s="41"/>
      <c r="F98" s="42"/>
      <c r="G98" s="43"/>
      <c r="H98" s="44"/>
      <c r="I98" s="41"/>
      <c r="J98" s="41"/>
      <c r="K98" s="41"/>
      <c r="L98" s="41"/>
      <c r="M98" s="41"/>
      <c r="N98" s="41"/>
      <c r="O98" s="45"/>
      <c r="P98" s="41"/>
      <c r="Q98" s="41"/>
      <c r="R98" s="41"/>
      <c r="S98" s="46"/>
      <c r="T98" s="46"/>
      <c r="U98" s="47"/>
      <c r="V98" s="47"/>
      <c r="W98" s="48"/>
      <c r="X98" s="49"/>
      <c r="Y98" s="49"/>
      <c r="Z98" s="47"/>
      <c r="AA98" s="47"/>
      <c r="AB98" s="47"/>
      <c r="AC98" s="34"/>
      <c r="AD98" s="34"/>
    </row>
    <row r="99" spans="1:30" ht="22.5" customHeight="1" x14ac:dyDescent="0.35">
      <c r="A99" s="41"/>
      <c r="B99" s="42"/>
      <c r="C99" s="42"/>
      <c r="D99" s="41"/>
      <c r="E99" s="41"/>
      <c r="F99" s="42"/>
      <c r="G99" s="43"/>
      <c r="H99" s="44"/>
      <c r="I99" s="41"/>
      <c r="J99" s="41"/>
      <c r="K99" s="41"/>
      <c r="L99" s="41"/>
      <c r="M99" s="41"/>
      <c r="N99" s="41"/>
      <c r="O99" s="45"/>
      <c r="P99" s="41"/>
      <c r="Q99" s="41"/>
      <c r="R99" s="41"/>
      <c r="S99" s="46"/>
      <c r="T99" s="46"/>
      <c r="U99" s="47"/>
      <c r="V99" s="47"/>
      <c r="W99" s="48"/>
      <c r="X99" s="49"/>
      <c r="Y99" s="49"/>
      <c r="Z99" s="47"/>
      <c r="AA99" s="47"/>
      <c r="AB99" s="47"/>
      <c r="AC99" s="34"/>
      <c r="AD99" s="34"/>
    </row>
    <row r="100" spans="1:30" ht="22.5" customHeight="1" x14ac:dyDescent="0.35">
      <c r="A100" s="41"/>
      <c r="B100" s="42"/>
      <c r="C100" s="42"/>
      <c r="D100" s="41"/>
      <c r="E100" s="41"/>
      <c r="F100" s="42"/>
      <c r="G100" s="43"/>
      <c r="H100" s="44"/>
      <c r="I100" s="41"/>
      <c r="J100" s="41"/>
      <c r="K100" s="41"/>
      <c r="L100" s="41"/>
      <c r="M100" s="41"/>
      <c r="N100" s="41"/>
      <c r="O100" s="45"/>
      <c r="P100" s="41"/>
      <c r="Q100" s="41"/>
      <c r="R100" s="41"/>
      <c r="S100" s="46"/>
      <c r="T100" s="46"/>
      <c r="U100" s="47"/>
      <c r="V100" s="47"/>
      <c r="W100" s="48"/>
      <c r="X100" s="49"/>
      <c r="Y100" s="49"/>
      <c r="Z100" s="47"/>
      <c r="AA100" s="47"/>
      <c r="AB100" s="47"/>
      <c r="AC100" s="34"/>
      <c r="AD100" s="34"/>
    </row>
    <row r="101" spans="1:30" ht="22.5" customHeight="1" x14ac:dyDescent="0.35">
      <c r="A101" s="41"/>
      <c r="B101" s="42"/>
      <c r="C101" s="42"/>
      <c r="D101" s="41"/>
      <c r="E101" s="41"/>
      <c r="F101" s="42"/>
      <c r="G101" s="43"/>
      <c r="H101" s="44"/>
      <c r="I101" s="41"/>
      <c r="J101" s="41"/>
      <c r="K101" s="41"/>
      <c r="L101" s="41"/>
      <c r="M101" s="41"/>
      <c r="N101" s="41"/>
      <c r="O101" s="45"/>
      <c r="P101" s="41"/>
      <c r="Q101" s="41"/>
      <c r="R101" s="41"/>
      <c r="S101" s="46"/>
      <c r="T101" s="46"/>
      <c r="U101" s="47"/>
      <c r="V101" s="47"/>
      <c r="W101" s="48"/>
      <c r="X101" s="49"/>
      <c r="Y101" s="49"/>
      <c r="Z101" s="47"/>
      <c r="AA101" s="47"/>
      <c r="AB101" s="47"/>
      <c r="AC101" s="34"/>
      <c r="AD101" s="34"/>
    </row>
    <row r="102" spans="1:30" ht="22.5" customHeight="1" x14ac:dyDescent="0.35">
      <c r="A102" s="41"/>
      <c r="B102" s="42"/>
      <c r="C102" s="42"/>
      <c r="D102" s="41"/>
      <c r="E102" s="41"/>
      <c r="F102" s="42"/>
      <c r="G102" s="43"/>
      <c r="H102" s="44"/>
      <c r="I102" s="41"/>
      <c r="J102" s="41"/>
      <c r="K102" s="41"/>
      <c r="L102" s="41"/>
      <c r="M102" s="41"/>
      <c r="N102" s="41"/>
      <c r="O102" s="45"/>
      <c r="P102" s="41"/>
      <c r="Q102" s="41"/>
      <c r="R102" s="41"/>
      <c r="S102" s="46"/>
      <c r="T102" s="46"/>
      <c r="U102" s="47"/>
      <c r="V102" s="47"/>
      <c r="W102" s="48"/>
      <c r="X102" s="49"/>
      <c r="Y102" s="49"/>
      <c r="Z102" s="47"/>
      <c r="AA102" s="47"/>
      <c r="AB102" s="47"/>
      <c r="AC102" s="34"/>
      <c r="AD102" s="34"/>
    </row>
    <row r="103" spans="1:30" ht="22.5" customHeight="1" x14ac:dyDescent="0.35">
      <c r="A103" s="41"/>
      <c r="B103" s="42"/>
      <c r="C103" s="42"/>
      <c r="D103" s="41"/>
      <c r="E103" s="41"/>
      <c r="F103" s="42"/>
      <c r="G103" s="43"/>
      <c r="H103" s="44"/>
      <c r="I103" s="41"/>
      <c r="J103" s="41"/>
      <c r="K103" s="41"/>
      <c r="L103" s="41"/>
      <c r="M103" s="41"/>
      <c r="N103" s="41"/>
      <c r="O103" s="45"/>
      <c r="P103" s="41"/>
      <c r="Q103" s="41"/>
      <c r="R103" s="41"/>
      <c r="S103" s="46"/>
      <c r="T103" s="46"/>
      <c r="U103" s="47"/>
      <c r="V103" s="47"/>
      <c r="W103" s="48"/>
      <c r="X103" s="49"/>
      <c r="Y103" s="49"/>
      <c r="Z103" s="47"/>
      <c r="AA103" s="47"/>
      <c r="AB103" s="47"/>
      <c r="AC103" s="34"/>
      <c r="AD103" s="34"/>
    </row>
    <row r="104" spans="1:30" ht="22.5" customHeight="1" x14ac:dyDescent="0.35">
      <c r="A104" s="41"/>
      <c r="B104" s="42"/>
      <c r="C104" s="42"/>
      <c r="D104" s="41"/>
      <c r="E104" s="41"/>
      <c r="F104" s="42"/>
      <c r="G104" s="43"/>
      <c r="H104" s="44"/>
      <c r="I104" s="41"/>
      <c r="J104" s="41"/>
      <c r="K104" s="41"/>
      <c r="L104" s="41"/>
      <c r="M104" s="41"/>
      <c r="N104" s="41"/>
      <c r="O104" s="45"/>
      <c r="P104" s="41"/>
      <c r="Q104" s="41"/>
      <c r="R104" s="41"/>
      <c r="S104" s="46"/>
      <c r="T104" s="46"/>
      <c r="U104" s="47"/>
      <c r="V104" s="47"/>
      <c r="W104" s="48"/>
      <c r="X104" s="49"/>
      <c r="Y104" s="49"/>
      <c r="Z104" s="47"/>
      <c r="AA104" s="47"/>
      <c r="AB104" s="47"/>
      <c r="AC104" s="34"/>
      <c r="AD104" s="34"/>
    </row>
    <row r="105" spans="1:30" ht="22.5" customHeight="1" x14ac:dyDescent="0.35">
      <c r="A105" s="41"/>
      <c r="B105" s="42"/>
      <c r="C105" s="42"/>
      <c r="D105" s="41"/>
      <c r="E105" s="41"/>
      <c r="F105" s="42"/>
      <c r="G105" s="43"/>
      <c r="H105" s="44"/>
      <c r="I105" s="41"/>
      <c r="J105" s="41"/>
      <c r="K105" s="41"/>
      <c r="L105" s="41"/>
      <c r="M105" s="41"/>
      <c r="N105" s="41"/>
      <c r="O105" s="45"/>
      <c r="P105" s="41"/>
      <c r="Q105" s="41"/>
      <c r="R105" s="41"/>
      <c r="S105" s="46"/>
      <c r="T105" s="46"/>
      <c r="U105" s="47"/>
      <c r="V105" s="47"/>
      <c r="W105" s="48"/>
      <c r="X105" s="49"/>
      <c r="Y105" s="49"/>
      <c r="Z105" s="47"/>
      <c r="AA105" s="47"/>
      <c r="AB105" s="47"/>
      <c r="AC105" s="34"/>
      <c r="AD105" s="34"/>
    </row>
    <row r="106" spans="1:30" ht="22.5" customHeight="1" x14ac:dyDescent="0.35">
      <c r="A106" s="41"/>
      <c r="B106" s="42"/>
      <c r="C106" s="42"/>
      <c r="D106" s="41"/>
      <c r="E106" s="41"/>
      <c r="F106" s="42"/>
      <c r="G106" s="43"/>
      <c r="H106" s="44"/>
      <c r="I106" s="41"/>
      <c r="J106" s="41"/>
      <c r="K106" s="41"/>
      <c r="L106" s="41"/>
      <c r="M106" s="41"/>
      <c r="N106" s="41"/>
      <c r="O106" s="45"/>
      <c r="P106" s="41"/>
      <c r="Q106" s="41"/>
      <c r="R106" s="41"/>
      <c r="S106" s="46"/>
      <c r="T106" s="46"/>
      <c r="U106" s="47"/>
      <c r="V106" s="47"/>
      <c r="W106" s="48"/>
      <c r="X106" s="49"/>
      <c r="Y106" s="49"/>
      <c r="Z106" s="47"/>
      <c r="AA106" s="47"/>
      <c r="AB106" s="47"/>
      <c r="AC106" s="34"/>
      <c r="AD106" s="34"/>
    </row>
    <row r="107" spans="1:30" ht="22.5" customHeight="1" x14ac:dyDescent="0.35">
      <c r="A107" s="41"/>
      <c r="B107" s="42"/>
      <c r="C107" s="42"/>
      <c r="D107" s="41"/>
      <c r="E107" s="41"/>
      <c r="F107" s="42"/>
      <c r="G107" s="43"/>
      <c r="H107" s="44"/>
      <c r="I107" s="41"/>
      <c r="J107" s="41"/>
      <c r="K107" s="41"/>
      <c r="L107" s="41"/>
      <c r="M107" s="41"/>
      <c r="N107" s="41"/>
      <c r="O107" s="45"/>
      <c r="P107" s="41"/>
      <c r="Q107" s="41"/>
      <c r="R107" s="41"/>
      <c r="S107" s="46"/>
      <c r="T107" s="46"/>
      <c r="U107" s="47"/>
      <c r="V107" s="47"/>
      <c r="W107" s="48"/>
      <c r="X107" s="49"/>
      <c r="Y107" s="49"/>
      <c r="Z107" s="47"/>
      <c r="AA107" s="47"/>
      <c r="AB107" s="47"/>
      <c r="AC107" s="34"/>
      <c r="AD107" s="34"/>
    </row>
    <row r="108" spans="1:30" ht="22.5" customHeight="1" x14ac:dyDescent="0.35">
      <c r="A108" s="41"/>
      <c r="B108" s="42"/>
      <c r="C108" s="42"/>
      <c r="D108" s="41"/>
      <c r="E108" s="41"/>
      <c r="F108" s="42"/>
      <c r="G108" s="43"/>
      <c r="H108" s="44"/>
      <c r="I108" s="41"/>
      <c r="J108" s="41"/>
      <c r="K108" s="41"/>
      <c r="L108" s="41"/>
      <c r="M108" s="41"/>
      <c r="N108" s="41"/>
      <c r="O108" s="45"/>
      <c r="P108" s="41"/>
      <c r="Q108" s="41"/>
      <c r="R108" s="41"/>
      <c r="S108" s="46"/>
      <c r="T108" s="46"/>
      <c r="U108" s="47"/>
      <c r="V108" s="47"/>
      <c r="W108" s="48"/>
      <c r="X108" s="49"/>
      <c r="Y108" s="49"/>
      <c r="Z108" s="47"/>
      <c r="AA108" s="47"/>
      <c r="AB108" s="47"/>
      <c r="AC108" s="34"/>
      <c r="AD108" s="34"/>
    </row>
    <row r="109" spans="1:30" ht="22.5" customHeight="1" x14ac:dyDescent="0.35">
      <c r="A109" s="41"/>
      <c r="B109" s="42"/>
      <c r="C109" s="42"/>
      <c r="D109" s="41"/>
      <c r="E109" s="41"/>
      <c r="F109" s="42"/>
      <c r="G109" s="43"/>
      <c r="H109" s="44"/>
      <c r="I109" s="41"/>
      <c r="J109" s="41"/>
      <c r="K109" s="41"/>
      <c r="L109" s="41"/>
      <c r="M109" s="41"/>
      <c r="N109" s="41"/>
      <c r="O109" s="45"/>
      <c r="P109" s="41"/>
      <c r="Q109" s="41"/>
      <c r="R109" s="41"/>
      <c r="S109" s="46"/>
      <c r="T109" s="46"/>
      <c r="U109" s="47"/>
      <c r="V109" s="47"/>
      <c r="W109" s="48"/>
      <c r="X109" s="49"/>
      <c r="Y109" s="49"/>
      <c r="Z109" s="47"/>
      <c r="AA109" s="47"/>
      <c r="AB109" s="47"/>
      <c r="AC109" s="34"/>
      <c r="AD109" s="34"/>
    </row>
    <row r="110" spans="1:30" ht="22.5" customHeight="1" x14ac:dyDescent="0.35">
      <c r="A110" s="41"/>
      <c r="B110" s="42"/>
      <c r="C110" s="42"/>
      <c r="D110" s="41"/>
      <c r="E110" s="41"/>
      <c r="F110" s="42"/>
      <c r="G110" s="43"/>
      <c r="H110" s="44"/>
      <c r="I110" s="41"/>
      <c r="J110" s="41"/>
      <c r="K110" s="41"/>
      <c r="L110" s="41"/>
      <c r="M110" s="41"/>
      <c r="N110" s="41"/>
      <c r="O110" s="45"/>
      <c r="P110" s="41"/>
      <c r="Q110" s="41"/>
      <c r="R110" s="41"/>
      <c r="S110" s="46"/>
      <c r="T110" s="46"/>
      <c r="U110" s="47"/>
      <c r="V110" s="47"/>
      <c r="W110" s="48"/>
      <c r="X110" s="49"/>
      <c r="Y110" s="49"/>
      <c r="Z110" s="47"/>
      <c r="AA110" s="47"/>
      <c r="AB110" s="47"/>
      <c r="AC110" s="34"/>
      <c r="AD110" s="34"/>
    </row>
    <row r="111" spans="1:30" ht="22.5" customHeight="1" x14ac:dyDescent="0.35">
      <c r="A111" s="41"/>
      <c r="B111" s="42"/>
      <c r="C111" s="42"/>
      <c r="D111" s="41"/>
      <c r="E111" s="41"/>
      <c r="F111" s="42"/>
      <c r="G111" s="43"/>
      <c r="H111" s="44"/>
      <c r="I111" s="41"/>
      <c r="J111" s="41"/>
      <c r="K111" s="41"/>
      <c r="L111" s="41"/>
      <c r="M111" s="41"/>
      <c r="N111" s="41"/>
      <c r="O111" s="45"/>
      <c r="P111" s="41"/>
      <c r="Q111" s="41"/>
      <c r="R111" s="41"/>
      <c r="S111" s="46"/>
      <c r="T111" s="46"/>
      <c r="U111" s="47"/>
      <c r="V111" s="47"/>
      <c r="W111" s="48"/>
      <c r="X111" s="49"/>
      <c r="Y111" s="49"/>
      <c r="Z111" s="47"/>
      <c r="AA111" s="47"/>
      <c r="AB111" s="47"/>
      <c r="AC111" s="34"/>
      <c r="AD111" s="34"/>
    </row>
    <row r="112" spans="1:30" ht="22.5" customHeight="1" x14ac:dyDescent="0.35">
      <c r="A112" s="41"/>
      <c r="B112" s="42"/>
      <c r="C112" s="42"/>
      <c r="D112" s="41"/>
      <c r="E112" s="41"/>
      <c r="F112" s="42"/>
      <c r="G112" s="43"/>
      <c r="H112" s="44"/>
      <c r="I112" s="41"/>
      <c r="J112" s="41"/>
      <c r="K112" s="41"/>
      <c r="L112" s="41"/>
      <c r="M112" s="41"/>
      <c r="N112" s="41"/>
      <c r="O112" s="45"/>
      <c r="P112" s="41"/>
      <c r="Q112" s="41"/>
      <c r="R112" s="41"/>
      <c r="S112" s="46"/>
      <c r="T112" s="46"/>
      <c r="U112" s="47"/>
      <c r="V112" s="47"/>
      <c r="W112" s="48"/>
      <c r="X112" s="49"/>
      <c r="Y112" s="49"/>
      <c r="Z112" s="47"/>
      <c r="AA112" s="47"/>
      <c r="AB112" s="47"/>
      <c r="AC112" s="34"/>
      <c r="AD112" s="34"/>
    </row>
    <row r="113" spans="1:30" ht="22.5" customHeight="1" x14ac:dyDescent="0.35">
      <c r="A113" s="41"/>
      <c r="B113" s="42"/>
      <c r="C113" s="42"/>
      <c r="D113" s="41"/>
      <c r="E113" s="41"/>
      <c r="F113" s="42"/>
      <c r="G113" s="43"/>
      <c r="H113" s="44"/>
      <c r="I113" s="41"/>
      <c r="J113" s="41"/>
      <c r="K113" s="41"/>
      <c r="L113" s="41"/>
      <c r="M113" s="41"/>
      <c r="N113" s="41"/>
      <c r="O113" s="45"/>
      <c r="P113" s="41"/>
      <c r="Q113" s="41"/>
      <c r="R113" s="41"/>
      <c r="S113" s="46"/>
      <c r="T113" s="46"/>
      <c r="U113" s="47"/>
      <c r="V113" s="47"/>
      <c r="W113" s="48"/>
      <c r="X113" s="49"/>
      <c r="Y113" s="49"/>
      <c r="Z113" s="47"/>
      <c r="AA113" s="47"/>
      <c r="AB113" s="47"/>
      <c r="AC113" s="34"/>
      <c r="AD113" s="34"/>
    </row>
    <row r="114" spans="1:30" ht="22.5" customHeight="1" x14ac:dyDescent="0.35">
      <c r="A114" s="41"/>
      <c r="B114" s="42"/>
      <c r="C114" s="42"/>
      <c r="D114" s="41"/>
      <c r="E114" s="41"/>
      <c r="F114" s="42"/>
      <c r="G114" s="43"/>
      <c r="H114" s="44"/>
      <c r="I114" s="41"/>
      <c r="J114" s="41"/>
      <c r="K114" s="41"/>
      <c r="L114" s="41"/>
      <c r="M114" s="41"/>
      <c r="N114" s="41"/>
      <c r="O114" s="45"/>
      <c r="P114" s="41"/>
      <c r="Q114" s="41"/>
      <c r="R114" s="41"/>
      <c r="S114" s="46"/>
      <c r="T114" s="46"/>
      <c r="U114" s="47"/>
      <c r="V114" s="47"/>
      <c r="W114" s="48"/>
      <c r="X114" s="49"/>
      <c r="Y114" s="49"/>
      <c r="Z114" s="47"/>
      <c r="AA114" s="47"/>
      <c r="AB114" s="47"/>
      <c r="AC114" s="34"/>
      <c r="AD114" s="34"/>
    </row>
    <row r="115" spans="1:30" ht="22.5" customHeight="1" x14ac:dyDescent="0.35">
      <c r="A115" s="41"/>
      <c r="B115" s="42"/>
      <c r="C115" s="42"/>
      <c r="D115" s="41"/>
      <c r="E115" s="41"/>
      <c r="F115" s="42"/>
      <c r="G115" s="43"/>
      <c r="H115" s="44"/>
      <c r="I115" s="41"/>
      <c r="J115" s="41"/>
      <c r="K115" s="41"/>
      <c r="L115" s="41"/>
      <c r="M115" s="41"/>
      <c r="N115" s="41"/>
      <c r="O115" s="45"/>
      <c r="P115" s="41"/>
      <c r="Q115" s="41"/>
      <c r="R115" s="41"/>
      <c r="S115" s="46"/>
      <c r="T115" s="46"/>
      <c r="U115" s="47"/>
      <c r="V115" s="47"/>
      <c r="W115" s="48"/>
      <c r="X115" s="49"/>
      <c r="Y115" s="49"/>
      <c r="Z115" s="47"/>
      <c r="AA115" s="47"/>
      <c r="AB115" s="47"/>
      <c r="AC115" s="34"/>
      <c r="AD115" s="34"/>
    </row>
    <row r="116" spans="1:30" ht="22.5" customHeight="1" x14ac:dyDescent="0.35">
      <c r="A116" s="41"/>
      <c r="B116" s="42"/>
      <c r="C116" s="42"/>
      <c r="D116" s="41"/>
      <c r="E116" s="41"/>
      <c r="F116" s="42"/>
      <c r="G116" s="43"/>
      <c r="H116" s="44"/>
      <c r="I116" s="41"/>
      <c r="J116" s="41"/>
      <c r="K116" s="41"/>
      <c r="L116" s="41"/>
      <c r="M116" s="41"/>
      <c r="N116" s="41"/>
      <c r="O116" s="45"/>
      <c r="P116" s="41"/>
      <c r="Q116" s="41"/>
      <c r="R116" s="41"/>
      <c r="S116" s="46"/>
      <c r="T116" s="46"/>
      <c r="U116" s="47"/>
      <c r="V116" s="47"/>
      <c r="W116" s="48"/>
      <c r="X116" s="49"/>
      <c r="Y116" s="49"/>
      <c r="Z116" s="47"/>
      <c r="AA116" s="47"/>
      <c r="AB116" s="47"/>
      <c r="AC116" s="34"/>
      <c r="AD116" s="34"/>
    </row>
    <row r="117" spans="1:30" ht="22.5" customHeight="1" x14ac:dyDescent="0.35">
      <c r="A117" s="41"/>
      <c r="B117" s="42"/>
      <c r="C117" s="42"/>
      <c r="D117" s="41"/>
      <c r="E117" s="41"/>
      <c r="F117" s="42"/>
      <c r="G117" s="43"/>
      <c r="H117" s="44"/>
      <c r="I117" s="41"/>
      <c r="J117" s="41"/>
      <c r="K117" s="41"/>
      <c r="L117" s="41"/>
      <c r="M117" s="41"/>
      <c r="N117" s="41"/>
      <c r="O117" s="45"/>
      <c r="P117" s="41"/>
      <c r="Q117" s="41"/>
      <c r="R117" s="41"/>
      <c r="S117" s="46"/>
      <c r="T117" s="46"/>
      <c r="U117" s="47"/>
      <c r="V117" s="47"/>
      <c r="W117" s="48"/>
      <c r="X117" s="49"/>
      <c r="Y117" s="49"/>
      <c r="Z117" s="47"/>
      <c r="AA117" s="47"/>
      <c r="AB117" s="47"/>
      <c r="AC117" s="34"/>
      <c r="AD117" s="34"/>
    </row>
    <row r="118" spans="1:30" ht="22.5" customHeight="1" x14ac:dyDescent="0.35">
      <c r="A118" s="41"/>
      <c r="B118" s="42"/>
      <c r="C118" s="42"/>
      <c r="D118" s="41"/>
      <c r="E118" s="41"/>
      <c r="F118" s="42"/>
      <c r="G118" s="43"/>
      <c r="H118" s="44"/>
      <c r="I118" s="41"/>
      <c r="J118" s="41"/>
      <c r="K118" s="41"/>
      <c r="L118" s="41"/>
      <c r="M118" s="41"/>
      <c r="N118" s="41"/>
      <c r="O118" s="45"/>
      <c r="P118" s="41"/>
      <c r="Q118" s="41"/>
      <c r="R118" s="41"/>
      <c r="S118" s="46"/>
      <c r="T118" s="46"/>
      <c r="U118" s="47"/>
      <c r="V118" s="47"/>
      <c r="W118" s="48"/>
      <c r="X118" s="49"/>
      <c r="Y118" s="49"/>
      <c r="Z118" s="47"/>
      <c r="AA118" s="47"/>
      <c r="AB118" s="47"/>
      <c r="AC118" s="34"/>
      <c r="AD118" s="34"/>
    </row>
    <row r="119" spans="1:30" ht="22.5" customHeight="1" x14ac:dyDescent="0.35">
      <c r="A119" s="41"/>
      <c r="B119" s="42"/>
      <c r="C119" s="42"/>
      <c r="D119" s="41"/>
      <c r="E119" s="41"/>
      <c r="F119" s="42"/>
      <c r="G119" s="43"/>
      <c r="H119" s="44"/>
      <c r="I119" s="41"/>
      <c r="J119" s="41"/>
      <c r="K119" s="41"/>
      <c r="L119" s="41"/>
      <c r="M119" s="41"/>
      <c r="N119" s="41"/>
      <c r="O119" s="45"/>
      <c r="P119" s="41"/>
      <c r="Q119" s="41"/>
      <c r="R119" s="41"/>
      <c r="S119" s="46"/>
      <c r="T119" s="46"/>
      <c r="U119" s="47"/>
      <c r="V119" s="47"/>
      <c r="W119" s="48"/>
      <c r="X119" s="49"/>
      <c r="Y119" s="49"/>
      <c r="Z119" s="47"/>
      <c r="AA119" s="47"/>
      <c r="AB119" s="47"/>
      <c r="AC119" s="34"/>
      <c r="AD119" s="34"/>
    </row>
    <row r="120" spans="1:30" ht="22.5" customHeight="1" x14ac:dyDescent="0.35">
      <c r="A120" s="41"/>
      <c r="B120" s="42"/>
      <c r="C120" s="42"/>
      <c r="D120" s="41"/>
      <c r="E120" s="41"/>
      <c r="F120" s="42"/>
      <c r="G120" s="43"/>
      <c r="H120" s="44"/>
      <c r="I120" s="41"/>
      <c r="J120" s="41"/>
      <c r="K120" s="41"/>
      <c r="L120" s="41"/>
      <c r="M120" s="41"/>
      <c r="N120" s="41"/>
      <c r="O120" s="45"/>
      <c r="P120" s="41"/>
      <c r="Q120" s="41"/>
      <c r="R120" s="41"/>
      <c r="S120" s="46"/>
      <c r="T120" s="46"/>
      <c r="U120" s="47"/>
      <c r="V120" s="47"/>
      <c r="W120" s="48"/>
      <c r="X120" s="49"/>
      <c r="Y120" s="49"/>
      <c r="Z120" s="47"/>
      <c r="AA120" s="47"/>
      <c r="AB120" s="47"/>
      <c r="AC120" s="34"/>
      <c r="AD120" s="34"/>
    </row>
    <row r="121" spans="1:30" ht="22.5" customHeight="1" x14ac:dyDescent="0.35">
      <c r="A121" s="41"/>
      <c r="B121" s="42"/>
      <c r="C121" s="42"/>
      <c r="D121" s="41"/>
      <c r="E121" s="41"/>
      <c r="F121" s="42"/>
      <c r="G121" s="43"/>
      <c r="H121" s="44"/>
      <c r="I121" s="41"/>
      <c r="J121" s="41"/>
      <c r="K121" s="41"/>
      <c r="L121" s="41"/>
      <c r="M121" s="41"/>
      <c r="N121" s="41"/>
      <c r="O121" s="45"/>
      <c r="P121" s="41"/>
      <c r="Q121" s="41"/>
      <c r="R121" s="41"/>
      <c r="S121" s="46"/>
      <c r="T121" s="46"/>
      <c r="U121" s="47"/>
      <c r="V121" s="47"/>
      <c r="W121" s="48"/>
      <c r="X121" s="49"/>
      <c r="Y121" s="49"/>
      <c r="Z121" s="47"/>
      <c r="AA121" s="47"/>
      <c r="AB121" s="47"/>
      <c r="AC121" s="34"/>
      <c r="AD121" s="34"/>
    </row>
    <row r="122" spans="1:30" ht="22.5" customHeight="1" x14ac:dyDescent="0.35">
      <c r="A122" s="41"/>
      <c r="B122" s="42"/>
      <c r="C122" s="42"/>
      <c r="D122" s="41"/>
      <c r="E122" s="41"/>
      <c r="F122" s="42"/>
      <c r="G122" s="43"/>
      <c r="H122" s="44"/>
      <c r="I122" s="41"/>
      <c r="J122" s="41"/>
      <c r="K122" s="41"/>
      <c r="L122" s="41"/>
      <c r="M122" s="41"/>
      <c r="N122" s="41"/>
      <c r="O122" s="45"/>
      <c r="P122" s="41"/>
      <c r="Q122" s="41"/>
      <c r="R122" s="41"/>
      <c r="S122" s="46"/>
      <c r="T122" s="46"/>
      <c r="U122" s="47"/>
      <c r="V122" s="47"/>
      <c r="W122" s="48"/>
      <c r="X122" s="49"/>
      <c r="Y122" s="49"/>
      <c r="Z122" s="47"/>
      <c r="AA122" s="47"/>
      <c r="AB122" s="47"/>
      <c r="AC122" s="34"/>
      <c r="AD122" s="34"/>
    </row>
    <row r="123" spans="1:30" ht="22.5" customHeight="1" x14ac:dyDescent="0.35">
      <c r="A123" s="41"/>
      <c r="B123" s="42"/>
      <c r="C123" s="42"/>
      <c r="D123" s="41"/>
      <c r="E123" s="41"/>
      <c r="F123" s="42"/>
      <c r="G123" s="43"/>
      <c r="H123" s="44"/>
      <c r="I123" s="41"/>
      <c r="J123" s="41"/>
      <c r="K123" s="41"/>
      <c r="L123" s="41"/>
      <c r="M123" s="41"/>
      <c r="N123" s="41"/>
      <c r="O123" s="45"/>
      <c r="P123" s="41"/>
      <c r="Q123" s="41"/>
      <c r="R123" s="41"/>
      <c r="S123" s="46"/>
      <c r="T123" s="46"/>
      <c r="U123" s="47"/>
      <c r="V123" s="47"/>
      <c r="W123" s="48"/>
      <c r="X123" s="49"/>
      <c r="Y123" s="49"/>
      <c r="Z123" s="47"/>
      <c r="AA123" s="47"/>
      <c r="AB123" s="47"/>
      <c r="AC123" s="34"/>
      <c r="AD123" s="34"/>
    </row>
    <row r="124" spans="1:30" ht="22.5" customHeight="1" x14ac:dyDescent="0.35">
      <c r="A124" s="41"/>
      <c r="B124" s="42"/>
      <c r="C124" s="42"/>
      <c r="D124" s="41"/>
      <c r="E124" s="41"/>
      <c r="F124" s="42"/>
      <c r="G124" s="43"/>
      <c r="H124" s="44"/>
      <c r="I124" s="41"/>
      <c r="J124" s="41"/>
      <c r="K124" s="41"/>
      <c r="L124" s="41"/>
      <c r="M124" s="41"/>
      <c r="N124" s="41"/>
      <c r="O124" s="45"/>
      <c r="P124" s="41"/>
      <c r="Q124" s="41"/>
      <c r="R124" s="41"/>
      <c r="S124" s="46"/>
      <c r="T124" s="46"/>
      <c r="U124" s="47"/>
      <c r="V124" s="47"/>
      <c r="W124" s="48"/>
      <c r="X124" s="49"/>
      <c r="Y124" s="49"/>
      <c r="Z124" s="47"/>
      <c r="AA124" s="47"/>
      <c r="AB124" s="47"/>
      <c r="AC124" s="34"/>
      <c r="AD124" s="34"/>
    </row>
    <row r="125" spans="1:30" ht="22.5" customHeight="1" x14ac:dyDescent="0.35">
      <c r="A125" s="41"/>
      <c r="B125" s="42"/>
      <c r="C125" s="42"/>
      <c r="D125" s="41"/>
      <c r="E125" s="41"/>
      <c r="F125" s="42"/>
      <c r="G125" s="43"/>
      <c r="H125" s="44"/>
      <c r="I125" s="41"/>
      <c r="J125" s="41"/>
      <c r="K125" s="41"/>
      <c r="L125" s="41"/>
      <c r="M125" s="41"/>
      <c r="N125" s="41"/>
      <c r="O125" s="45"/>
      <c r="P125" s="41"/>
      <c r="Q125" s="41"/>
      <c r="R125" s="41"/>
      <c r="S125" s="46"/>
      <c r="T125" s="46"/>
      <c r="U125" s="47"/>
      <c r="V125" s="47"/>
      <c r="W125" s="48"/>
      <c r="X125" s="49"/>
      <c r="Y125" s="49"/>
      <c r="Z125" s="47"/>
      <c r="AA125" s="47"/>
      <c r="AB125" s="47"/>
      <c r="AC125" s="34"/>
      <c r="AD125" s="34"/>
    </row>
    <row r="126" spans="1:30" ht="22.5" customHeight="1" x14ac:dyDescent="0.35">
      <c r="A126" s="41"/>
      <c r="B126" s="42"/>
      <c r="C126" s="42"/>
      <c r="D126" s="41"/>
      <c r="E126" s="41"/>
      <c r="F126" s="42"/>
      <c r="G126" s="43"/>
      <c r="H126" s="44"/>
      <c r="I126" s="41"/>
      <c r="J126" s="41"/>
      <c r="K126" s="41"/>
      <c r="L126" s="41"/>
      <c r="M126" s="41"/>
      <c r="N126" s="41"/>
      <c r="O126" s="45"/>
      <c r="P126" s="41"/>
      <c r="Q126" s="41"/>
      <c r="R126" s="41"/>
      <c r="S126" s="46"/>
      <c r="T126" s="46"/>
      <c r="U126" s="47"/>
      <c r="V126" s="47"/>
      <c r="W126" s="48"/>
      <c r="X126" s="49"/>
      <c r="Y126" s="49"/>
      <c r="Z126" s="47"/>
      <c r="AA126" s="47"/>
      <c r="AB126" s="47"/>
      <c r="AC126" s="34"/>
      <c r="AD126" s="34"/>
    </row>
    <row r="127" spans="1:30" ht="22.5" customHeight="1" x14ac:dyDescent="0.35">
      <c r="A127" s="41"/>
      <c r="B127" s="42"/>
      <c r="C127" s="42"/>
      <c r="D127" s="41"/>
      <c r="E127" s="41"/>
      <c r="F127" s="42"/>
      <c r="G127" s="43"/>
      <c r="H127" s="44"/>
      <c r="I127" s="41"/>
      <c r="J127" s="41"/>
      <c r="K127" s="41"/>
      <c r="L127" s="41"/>
      <c r="M127" s="41"/>
      <c r="N127" s="41"/>
      <c r="O127" s="45"/>
      <c r="P127" s="41"/>
      <c r="Q127" s="41"/>
      <c r="R127" s="41"/>
      <c r="S127" s="46"/>
      <c r="T127" s="46"/>
      <c r="U127" s="47"/>
      <c r="V127" s="47"/>
      <c r="W127" s="48"/>
      <c r="X127" s="49"/>
      <c r="Y127" s="49"/>
      <c r="Z127" s="47"/>
      <c r="AA127" s="47"/>
      <c r="AB127" s="47"/>
      <c r="AC127" s="34"/>
      <c r="AD127" s="34"/>
    </row>
    <row r="128" spans="1:30" ht="22.5" customHeight="1" x14ac:dyDescent="0.35">
      <c r="A128" s="41"/>
      <c r="B128" s="42"/>
      <c r="C128" s="42"/>
      <c r="D128" s="41"/>
      <c r="E128" s="41"/>
      <c r="F128" s="42"/>
      <c r="G128" s="43"/>
      <c r="H128" s="44"/>
      <c r="I128" s="41"/>
      <c r="J128" s="41"/>
      <c r="K128" s="41"/>
      <c r="L128" s="41"/>
      <c r="M128" s="41"/>
      <c r="N128" s="41"/>
      <c r="O128" s="45"/>
      <c r="P128" s="41"/>
      <c r="Q128" s="41"/>
      <c r="R128" s="41"/>
      <c r="S128" s="46"/>
      <c r="T128" s="46"/>
      <c r="U128" s="47"/>
      <c r="V128" s="47"/>
      <c r="W128" s="48"/>
      <c r="X128" s="49"/>
      <c r="Y128" s="49"/>
      <c r="Z128" s="47"/>
      <c r="AA128" s="47"/>
      <c r="AB128" s="47"/>
      <c r="AC128" s="34"/>
      <c r="AD128" s="34"/>
    </row>
    <row r="129" spans="1:30" ht="22.5" customHeight="1" x14ac:dyDescent="0.35">
      <c r="A129" s="41"/>
      <c r="B129" s="42"/>
      <c r="C129" s="42"/>
      <c r="D129" s="41"/>
      <c r="E129" s="41"/>
      <c r="F129" s="42"/>
      <c r="G129" s="43"/>
      <c r="H129" s="44"/>
      <c r="I129" s="41"/>
      <c r="J129" s="41"/>
      <c r="K129" s="41"/>
      <c r="L129" s="41"/>
      <c r="M129" s="41"/>
      <c r="N129" s="41"/>
      <c r="O129" s="45"/>
      <c r="P129" s="41"/>
      <c r="Q129" s="41"/>
      <c r="R129" s="41"/>
      <c r="S129" s="46"/>
      <c r="T129" s="46"/>
      <c r="U129" s="47"/>
      <c r="V129" s="47"/>
      <c r="W129" s="48"/>
      <c r="X129" s="49"/>
      <c r="Y129" s="49"/>
      <c r="Z129" s="47"/>
      <c r="AA129" s="47"/>
      <c r="AB129" s="47"/>
      <c r="AC129" s="34"/>
      <c r="AD129" s="34"/>
    </row>
    <row r="130" spans="1:30" ht="22.5" customHeight="1" x14ac:dyDescent="0.35">
      <c r="A130" s="41"/>
      <c r="B130" s="42"/>
      <c r="C130" s="42"/>
      <c r="D130" s="41"/>
      <c r="E130" s="41"/>
      <c r="F130" s="42"/>
      <c r="G130" s="43"/>
      <c r="H130" s="44"/>
      <c r="I130" s="41"/>
      <c r="J130" s="41"/>
      <c r="K130" s="41"/>
      <c r="L130" s="41"/>
      <c r="M130" s="41"/>
      <c r="N130" s="41"/>
      <c r="O130" s="45"/>
      <c r="P130" s="41"/>
      <c r="Q130" s="41"/>
      <c r="R130" s="41"/>
      <c r="S130" s="46"/>
      <c r="T130" s="46"/>
      <c r="U130" s="47"/>
      <c r="V130" s="47"/>
      <c r="W130" s="48"/>
      <c r="X130" s="49"/>
      <c r="Y130" s="49"/>
      <c r="Z130" s="47"/>
      <c r="AA130" s="47"/>
      <c r="AB130" s="47"/>
      <c r="AC130" s="34"/>
      <c r="AD130" s="34"/>
    </row>
    <row r="131" spans="1:30" ht="22.5" customHeight="1" x14ac:dyDescent="0.35">
      <c r="A131" s="41"/>
      <c r="B131" s="42"/>
      <c r="C131" s="42"/>
      <c r="D131" s="41"/>
      <c r="E131" s="41"/>
      <c r="F131" s="42"/>
      <c r="G131" s="43"/>
      <c r="H131" s="44"/>
      <c r="I131" s="41"/>
      <c r="J131" s="41"/>
      <c r="K131" s="41"/>
      <c r="L131" s="41"/>
      <c r="M131" s="41"/>
      <c r="N131" s="41"/>
      <c r="O131" s="45"/>
      <c r="P131" s="41"/>
      <c r="Q131" s="41"/>
      <c r="R131" s="41"/>
      <c r="S131" s="46"/>
      <c r="T131" s="46"/>
      <c r="U131" s="47"/>
      <c r="V131" s="47"/>
      <c r="W131" s="48"/>
      <c r="X131" s="49"/>
      <c r="Y131" s="49"/>
      <c r="Z131" s="47"/>
      <c r="AA131" s="47"/>
      <c r="AB131" s="47"/>
      <c r="AC131" s="34"/>
      <c r="AD131" s="34"/>
    </row>
    <row r="132" spans="1:30" ht="22.5" customHeight="1" x14ac:dyDescent="0.35">
      <c r="A132" s="41"/>
      <c r="B132" s="42"/>
      <c r="C132" s="42"/>
      <c r="D132" s="41"/>
      <c r="E132" s="41"/>
      <c r="F132" s="42"/>
      <c r="G132" s="43"/>
      <c r="H132" s="44"/>
      <c r="I132" s="41"/>
      <c r="J132" s="41"/>
      <c r="K132" s="41"/>
      <c r="L132" s="41"/>
      <c r="M132" s="41"/>
      <c r="N132" s="41"/>
      <c r="O132" s="45"/>
      <c r="P132" s="41"/>
      <c r="Q132" s="41"/>
      <c r="R132" s="41"/>
      <c r="S132" s="46"/>
      <c r="T132" s="46"/>
      <c r="U132" s="47"/>
      <c r="V132" s="47"/>
      <c r="W132" s="48"/>
      <c r="X132" s="49"/>
      <c r="Y132" s="49"/>
      <c r="Z132" s="47"/>
      <c r="AA132" s="47"/>
      <c r="AB132" s="47"/>
      <c r="AC132" s="34"/>
      <c r="AD132" s="34"/>
    </row>
    <row r="133" spans="1:30" ht="22.5" customHeight="1" x14ac:dyDescent="0.35">
      <c r="A133" s="41"/>
      <c r="B133" s="42"/>
      <c r="C133" s="42"/>
      <c r="D133" s="41"/>
      <c r="E133" s="41"/>
      <c r="F133" s="42"/>
      <c r="G133" s="43"/>
      <c r="H133" s="44"/>
      <c r="I133" s="41"/>
      <c r="J133" s="41"/>
      <c r="K133" s="41"/>
      <c r="L133" s="41"/>
      <c r="M133" s="41"/>
      <c r="N133" s="41"/>
      <c r="O133" s="45"/>
      <c r="P133" s="41"/>
      <c r="Q133" s="41"/>
      <c r="R133" s="41"/>
      <c r="S133" s="46"/>
      <c r="T133" s="46"/>
      <c r="U133" s="47"/>
      <c r="V133" s="47"/>
      <c r="W133" s="48"/>
      <c r="X133" s="49"/>
      <c r="Y133" s="49"/>
      <c r="Z133" s="47"/>
      <c r="AA133" s="47"/>
      <c r="AB133" s="47"/>
      <c r="AC133" s="34"/>
      <c r="AD133" s="34"/>
    </row>
    <row r="134" spans="1:30" ht="22.5" customHeight="1" x14ac:dyDescent="0.35">
      <c r="A134" s="41"/>
      <c r="B134" s="42"/>
      <c r="C134" s="42"/>
      <c r="D134" s="41"/>
      <c r="E134" s="41"/>
      <c r="F134" s="42"/>
      <c r="G134" s="43"/>
      <c r="H134" s="44"/>
      <c r="I134" s="41"/>
      <c r="J134" s="41"/>
      <c r="K134" s="41"/>
      <c r="L134" s="41"/>
      <c r="M134" s="41"/>
      <c r="N134" s="41"/>
      <c r="O134" s="45"/>
      <c r="P134" s="41"/>
      <c r="Q134" s="41"/>
      <c r="R134" s="41"/>
      <c r="S134" s="46"/>
      <c r="T134" s="46"/>
      <c r="U134" s="47"/>
      <c r="V134" s="47"/>
      <c r="W134" s="48"/>
      <c r="X134" s="49"/>
      <c r="Y134" s="49"/>
      <c r="Z134" s="47"/>
      <c r="AA134" s="47"/>
      <c r="AB134" s="47"/>
      <c r="AC134" s="34"/>
      <c r="AD134" s="34"/>
    </row>
    <row r="135" spans="1:30" ht="22.5" customHeight="1" x14ac:dyDescent="0.35">
      <c r="A135" s="41"/>
      <c r="B135" s="42"/>
      <c r="C135" s="42"/>
      <c r="D135" s="41"/>
      <c r="E135" s="41"/>
      <c r="F135" s="42"/>
      <c r="G135" s="43"/>
      <c r="H135" s="44"/>
      <c r="I135" s="41"/>
      <c r="J135" s="41"/>
      <c r="K135" s="41"/>
      <c r="L135" s="41"/>
      <c r="M135" s="41"/>
      <c r="N135" s="41"/>
      <c r="O135" s="45"/>
      <c r="P135" s="41"/>
      <c r="Q135" s="41"/>
      <c r="R135" s="41"/>
      <c r="S135" s="46"/>
      <c r="T135" s="46"/>
      <c r="U135" s="47"/>
      <c r="V135" s="47"/>
      <c r="W135" s="48"/>
      <c r="X135" s="49"/>
      <c r="Y135" s="49"/>
      <c r="Z135" s="47"/>
      <c r="AA135" s="47"/>
      <c r="AB135" s="47"/>
      <c r="AC135" s="34"/>
      <c r="AD135" s="34"/>
    </row>
    <row r="136" spans="1:30" ht="22.5" customHeight="1" x14ac:dyDescent="0.35">
      <c r="A136" s="41"/>
      <c r="B136" s="42"/>
      <c r="C136" s="42"/>
      <c r="D136" s="41"/>
      <c r="E136" s="41"/>
      <c r="F136" s="42"/>
      <c r="G136" s="43"/>
      <c r="H136" s="44"/>
      <c r="I136" s="41"/>
      <c r="J136" s="41"/>
      <c r="K136" s="41"/>
      <c r="L136" s="41"/>
      <c r="M136" s="41"/>
      <c r="N136" s="41"/>
      <c r="O136" s="45"/>
      <c r="P136" s="41"/>
      <c r="Q136" s="41"/>
      <c r="R136" s="41"/>
      <c r="S136" s="46"/>
      <c r="T136" s="46"/>
      <c r="U136" s="47"/>
      <c r="V136" s="47"/>
      <c r="W136" s="48"/>
      <c r="X136" s="49"/>
      <c r="Y136" s="49"/>
      <c r="Z136" s="47"/>
      <c r="AA136" s="47"/>
      <c r="AB136" s="47"/>
      <c r="AC136" s="34"/>
      <c r="AD136" s="34"/>
    </row>
    <row r="137" spans="1:30" ht="22.5" customHeight="1" x14ac:dyDescent="0.35">
      <c r="A137" s="41"/>
      <c r="B137" s="42"/>
      <c r="C137" s="42"/>
      <c r="D137" s="41"/>
      <c r="E137" s="41"/>
      <c r="F137" s="42"/>
      <c r="G137" s="43"/>
      <c r="H137" s="44"/>
      <c r="I137" s="41"/>
      <c r="J137" s="41"/>
      <c r="K137" s="41"/>
      <c r="L137" s="41"/>
      <c r="M137" s="41"/>
      <c r="N137" s="41"/>
      <c r="O137" s="45"/>
      <c r="P137" s="41"/>
      <c r="Q137" s="41"/>
      <c r="R137" s="41"/>
      <c r="S137" s="46"/>
      <c r="T137" s="46"/>
      <c r="U137" s="47"/>
      <c r="V137" s="47"/>
      <c r="W137" s="48"/>
      <c r="X137" s="49"/>
      <c r="Y137" s="49"/>
      <c r="Z137" s="47"/>
      <c r="AA137" s="47"/>
      <c r="AB137" s="47"/>
      <c r="AC137" s="34"/>
      <c r="AD137" s="34"/>
    </row>
    <row r="138" spans="1:30" ht="22.5" customHeight="1" x14ac:dyDescent="0.35">
      <c r="A138" s="41"/>
      <c r="B138" s="42"/>
      <c r="C138" s="42"/>
      <c r="D138" s="41"/>
      <c r="E138" s="41"/>
      <c r="F138" s="42"/>
      <c r="G138" s="43"/>
      <c r="H138" s="44"/>
      <c r="I138" s="41"/>
      <c r="J138" s="41"/>
      <c r="K138" s="41"/>
      <c r="L138" s="41"/>
      <c r="M138" s="41"/>
      <c r="N138" s="41"/>
      <c r="O138" s="45"/>
      <c r="P138" s="41"/>
      <c r="Q138" s="41"/>
      <c r="R138" s="41"/>
      <c r="S138" s="46"/>
      <c r="T138" s="46"/>
      <c r="U138" s="47"/>
      <c r="V138" s="47"/>
      <c r="W138" s="48"/>
      <c r="X138" s="49"/>
      <c r="Y138" s="49"/>
      <c r="Z138" s="47"/>
      <c r="AA138" s="47"/>
      <c r="AB138" s="47"/>
      <c r="AC138" s="34"/>
      <c r="AD138" s="34"/>
    </row>
    <row r="139" spans="1:30" ht="22.5" customHeight="1" x14ac:dyDescent="0.35">
      <c r="A139" s="41"/>
      <c r="B139" s="42"/>
      <c r="C139" s="42"/>
      <c r="D139" s="41"/>
      <c r="E139" s="41"/>
      <c r="F139" s="42"/>
      <c r="G139" s="43"/>
      <c r="H139" s="44"/>
      <c r="I139" s="41"/>
      <c r="J139" s="41"/>
      <c r="K139" s="41"/>
      <c r="L139" s="41"/>
      <c r="M139" s="41"/>
      <c r="N139" s="41"/>
      <c r="O139" s="45"/>
      <c r="P139" s="41"/>
      <c r="Q139" s="41"/>
      <c r="R139" s="41"/>
      <c r="S139" s="46"/>
      <c r="T139" s="46"/>
      <c r="U139" s="47"/>
      <c r="V139" s="47"/>
      <c r="W139" s="48"/>
      <c r="X139" s="49"/>
      <c r="Y139" s="49"/>
      <c r="Z139" s="47"/>
      <c r="AA139" s="47"/>
      <c r="AB139" s="47"/>
      <c r="AC139" s="34"/>
      <c r="AD139" s="34"/>
    </row>
    <row r="140" spans="1:30" ht="22.5" customHeight="1" x14ac:dyDescent="0.35">
      <c r="A140" s="41"/>
      <c r="B140" s="42"/>
      <c r="C140" s="42"/>
      <c r="D140" s="41"/>
      <c r="E140" s="41"/>
      <c r="F140" s="42"/>
      <c r="G140" s="43"/>
      <c r="H140" s="44"/>
      <c r="I140" s="41"/>
      <c r="J140" s="41"/>
      <c r="K140" s="41"/>
      <c r="L140" s="41"/>
      <c r="M140" s="41"/>
      <c r="N140" s="41"/>
      <c r="O140" s="45"/>
      <c r="P140" s="41"/>
      <c r="Q140" s="41"/>
      <c r="R140" s="41"/>
      <c r="S140" s="46"/>
      <c r="T140" s="46"/>
      <c r="U140" s="47"/>
      <c r="V140" s="47"/>
      <c r="W140" s="48"/>
      <c r="X140" s="49"/>
      <c r="Y140" s="49"/>
      <c r="Z140" s="47"/>
      <c r="AA140" s="47"/>
      <c r="AB140" s="47"/>
      <c r="AC140" s="34"/>
      <c r="AD140" s="34"/>
    </row>
    <row r="141" spans="1:30" ht="22.5" customHeight="1" x14ac:dyDescent="0.35">
      <c r="A141" s="41"/>
      <c r="B141" s="42"/>
      <c r="C141" s="42"/>
      <c r="D141" s="41"/>
      <c r="E141" s="41"/>
      <c r="F141" s="42"/>
      <c r="G141" s="43"/>
      <c r="H141" s="44"/>
      <c r="I141" s="41"/>
      <c r="J141" s="41"/>
      <c r="K141" s="41"/>
      <c r="L141" s="41"/>
      <c r="M141" s="41"/>
      <c r="N141" s="41"/>
      <c r="O141" s="45"/>
      <c r="P141" s="41"/>
      <c r="Q141" s="41"/>
      <c r="R141" s="41"/>
      <c r="S141" s="46"/>
      <c r="T141" s="46"/>
      <c r="U141" s="47"/>
      <c r="V141" s="47"/>
      <c r="W141" s="48"/>
      <c r="X141" s="49"/>
      <c r="Y141" s="49"/>
      <c r="Z141" s="47"/>
      <c r="AA141" s="47"/>
      <c r="AB141" s="47"/>
      <c r="AC141" s="34"/>
      <c r="AD141" s="34"/>
    </row>
    <row r="142" spans="1:30" ht="22.5" customHeight="1" x14ac:dyDescent="0.35">
      <c r="A142" s="41"/>
      <c r="B142" s="42"/>
      <c r="C142" s="42"/>
      <c r="D142" s="41"/>
      <c r="E142" s="41"/>
      <c r="F142" s="42"/>
      <c r="G142" s="43"/>
      <c r="H142" s="44"/>
      <c r="I142" s="41"/>
      <c r="J142" s="41"/>
      <c r="K142" s="41"/>
      <c r="L142" s="41"/>
      <c r="M142" s="41"/>
      <c r="N142" s="41"/>
      <c r="O142" s="45"/>
      <c r="P142" s="41"/>
      <c r="Q142" s="41"/>
      <c r="R142" s="41"/>
      <c r="S142" s="46"/>
      <c r="T142" s="46"/>
      <c r="U142" s="47"/>
      <c r="V142" s="47"/>
      <c r="W142" s="48"/>
      <c r="X142" s="49"/>
      <c r="Y142" s="49"/>
      <c r="Z142" s="47"/>
      <c r="AA142" s="47"/>
      <c r="AB142" s="47"/>
      <c r="AC142" s="34"/>
      <c r="AD142" s="34"/>
    </row>
    <row r="143" spans="1:30" ht="22.5" customHeight="1" x14ac:dyDescent="0.35">
      <c r="A143" s="41"/>
      <c r="B143" s="42"/>
      <c r="C143" s="42"/>
      <c r="D143" s="41"/>
      <c r="E143" s="41"/>
      <c r="F143" s="42"/>
      <c r="G143" s="43"/>
      <c r="H143" s="44"/>
      <c r="I143" s="41"/>
      <c r="J143" s="41"/>
      <c r="K143" s="41"/>
      <c r="L143" s="41"/>
      <c r="M143" s="41"/>
      <c r="N143" s="41"/>
      <c r="O143" s="45"/>
      <c r="P143" s="41"/>
      <c r="Q143" s="41"/>
      <c r="R143" s="41"/>
      <c r="S143" s="46"/>
      <c r="T143" s="46"/>
      <c r="U143" s="47"/>
      <c r="V143" s="47"/>
      <c r="W143" s="48"/>
      <c r="X143" s="49"/>
      <c r="Y143" s="49"/>
      <c r="Z143" s="47"/>
      <c r="AA143" s="47"/>
      <c r="AB143" s="47"/>
      <c r="AC143" s="34"/>
      <c r="AD143" s="34"/>
    </row>
    <row r="144" spans="1:30" ht="22.5" customHeight="1" x14ac:dyDescent="0.35">
      <c r="A144" s="41"/>
      <c r="B144" s="42"/>
      <c r="C144" s="42"/>
      <c r="D144" s="41"/>
      <c r="E144" s="41"/>
      <c r="F144" s="42"/>
      <c r="G144" s="43"/>
      <c r="H144" s="44"/>
      <c r="I144" s="41"/>
      <c r="J144" s="41"/>
      <c r="K144" s="41"/>
      <c r="L144" s="41"/>
      <c r="M144" s="41"/>
      <c r="N144" s="41"/>
      <c r="O144" s="45"/>
      <c r="P144" s="41"/>
      <c r="Q144" s="41"/>
      <c r="R144" s="41"/>
      <c r="S144" s="46"/>
      <c r="T144" s="46"/>
      <c r="U144" s="47"/>
      <c r="V144" s="47"/>
      <c r="W144" s="48"/>
      <c r="X144" s="49"/>
      <c r="Y144" s="49"/>
      <c r="Z144" s="47"/>
      <c r="AA144" s="47"/>
      <c r="AB144" s="47"/>
      <c r="AC144" s="34"/>
      <c r="AD144" s="34"/>
    </row>
    <row r="145" spans="1:30" ht="22.5" customHeight="1" x14ac:dyDescent="0.35">
      <c r="A145" s="41"/>
      <c r="B145" s="42"/>
      <c r="C145" s="42"/>
      <c r="D145" s="41"/>
      <c r="E145" s="41"/>
      <c r="F145" s="42"/>
      <c r="G145" s="43"/>
      <c r="H145" s="44"/>
      <c r="I145" s="41"/>
      <c r="J145" s="41"/>
      <c r="K145" s="41"/>
      <c r="L145" s="41"/>
      <c r="M145" s="41"/>
      <c r="N145" s="41"/>
      <c r="O145" s="45"/>
      <c r="P145" s="41"/>
      <c r="Q145" s="41"/>
      <c r="R145" s="41"/>
      <c r="S145" s="46"/>
      <c r="T145" s="46"/>
      <c r="U145" s="47"/>
      <c r="V145" s="47"/>
      <c r="W145" s="48"/>
      <c r="X145" s="49"/>
      <c r="Y145" s="49"/>
      <c r="Z145" s="47"/>
      <c r="AA145" s="47"/>
      <c r="AB145" s="47"/>
      <c r="AC145" s="34"/>
      <c r="AD145" s="34"/>
    </row>
    <row r="146" spans="1:30" ht="22.5" customHeight="1" x14ac:dyDescent="0.35">
      <c r="A146" s="41"/>
      <c r="B146" s="42"/>
      <c r="C146" s="42"/>
      <c r="D146" s="41"/>
      <c r="E146" s="41"/>
      <c r="F146" s="42"/>
      <c r="G146" s="43"/>
      <c r="H146" s="44"/>
      <c r="I146" s="41"/>
      <c r="J146" s="41"/>
      <c r="K146" s="41"/>
      <c r="L146" s="41"/>
      <c r="M146" s="41"/>
      <c r="N146" s="41"/>
      <c r="O146" s="45"/>
      <c r="P146" s="41"/>
      <c r="Q146" s="41"/>
      <c r="R146" s="41"/>
      <c r="S146" s="46"/>
      <c r="T146" s="46"/>
      <c r="U146" s="47"/>
      <c r="V146" s="47"/>
      <c r="W146" s="48"/>
      <c r="X146" s="49"/>
      <c r="Y146" s="49"/>
      <c r="Z146" s="47"/>
      <c r="AA146" s="47"/>
      <c r="AB146" s="47"/>
      <c r="AC146" s="34"/>
      <c r="AD146" s="34"/>
    </row>
    <row r="147" spans="1:30" ht="22.5" customHeight="1" x14ac:dyDescent="0.35">
      <c r="A147" s="41"/>
      <c r="B147" s="42"/>
      <c r="C147" s="42"/>
      <c r="D147" s="41"/>
      <c r="E147" s="41"/>
      <c r="F147" s="42"/>
      <c r="G147" s="43"/>
      <c r="H147" s="44"/>
      <c r="I147" s="41"/>
      <c r="J147" s="41"/>
      <c r="K147" s="41"/>
      <c r="L147" s="41"/>
      <c r="M147" s="41"/>
      <c r="N147" s="41"/>
      <c r="O147" s="45"/>
      <c r="P147" s="41"/>
      <c r="Q147" s="41"/>
      <c r="R147" s="41"/>
      <c r="S147" s="46"/>
      <c r="T147" s="46"/>
      <c r="U147" s="47"/>
      <c r="V147" s="47"/>
      <c r="W147" s="48"/>
      <c r="X147" s="49"/>
      <c r="Y147" s="49"/>
      <c r="Z147" s="47"/>
      <c r="AA147" s="47"/>
      <c r="AB147" s="47"/>
      <c r="AC147" s="34"/>
      <c r="AD147" s="34"/>
    </row>
    <row r="148" spans="1:30" ht="22.5" customHeight="1" x14ac:dyDescent="0.35">
      <c r="A148" s="41"/>
      <c r="B148" s="42"/>
      <c r="C148" s="42"/>
      <c r="D148" s="41"/>
      <c r="E148" s="41"/>
      <c r="F148" s="42"/>
      <c r="G148" s="43"/>
      <c r="H148" s="44"/>
      <c r="I148" s="41"/>
      <c r="J148" s="41"/>
      <c r="K148" s="41"/>
      <c r="L148" s="41"/>
      <c r="M148" s="41"/>
      <c r="N148" s="41"/>
      <c r="O148" s="45"/>
      <c r="P148" s="41"/>
      <c r="Q148" s="41"/>
      <c r="R148" s="41"/>
      <c r="S148" s="46"/>
      <c r="T148" s="46"/>
      <c r="U148" s="47"/>
      <c r="V148" s="47"/>
      <c r="W148" s="48"/>
      <c r="X148" s="49"/>
      <c r="Y148" s="49"/>
      <c r="Z148" s="47"/>
      <c r="AA148" s="47"/>
      <c r="AB148" s="47"/>
      <c r="AC148" s="34"/>
      <c r="AD148" s="34"/>
    </row>
    <row r="149" spans="1:30" ht="22.5" customHeight="1" x14ac:dyDescent="0.35">
      <c r="A149" s="41"/>
      <c r="B149" s="42"/>
      <c r="C149" s="42"/>
      <c r="D149" s="41"/>
      <c r="E149" s="41"/>
      <c r="F149" s="42"/>
      <c r="G149" s="43"/>
      <c r="H149" s="44"/>
      <c r="I149" s="41"/>
      <c r="J149" s="41"/>
      <c r="K149" s="41"/>
      <c r="L149" s="41"/>
      <c r="M149" s="41"/>
      <c r="N149" s="41"/>
      <c r="O149" s="45"/>
      <c r="P149" s="41"/>
      <c r="Q149" s="41"/>
      <c r="R149" s="41"/>
      <c r="S149" s="46"/>
      <c r="T149" s="46"/>
      <c r="U149" s="47"/>
      <c r="V149" s="47"/>
      <c r="W149" s="48"/>
      <c r="X149" s="49"/>
      <c r="Y149" s="49"/>
      <c r="Z149" s="47"/>
      <c r="AA149" s="47"/>
      <c r="AB149" s="47"/>
      <c r="AC149" s="34"/>
      <c r="AD149" s="34"/>
    </row>
    <row r="150" spans="1:30" ht="22.5" customHeight="1" x14ac:dyDescent="0.35">
      <c r="A150" s="41"/>
      <c r="B150" s="42"/>
      <c r="C150" s="42"/>
      <c r="D150" s="41"/>
      <c r="E150" s="41"/>
      <c r="F150" s="42"/>
      <c r="G150" s="43"/>
      <c r="H150" s="44"/>
      <c r="I150" s="41"/>
      <c r="J150" s="41"/>
      <c r="K150" s="41"/>
      <c r="L150" s="41"/>
      <c r="M150" s="41"/>
      <c r="N150" s="41"/>
      <c r="O150" s="45"/>
      <c r="P150" s="41"/>
      <c r="Q150" s="41"/>
      <c r="R150" s="41"/>
      <c r="S150" s="46"/>
      <c r="T150" s="46"/>
      <c r="U150" s="47"/>
      <c r="V150" s="47"/>
      <c r="W150" s="48"/>
      <c r="X150" s="49"/>
      <c r="Y150" s="49"/>
      <c r="Z150" s="47"/>
      <c r="AA150" s="47"/>
      <c r="AB150" s="47"/>
      <c r="AC150" s="34"/>
      <c r="AD150" s="34"/>
    </row>
    <row r="151" spans="1:30" ht="22.5" customHeight="1" x14ac:dyDescent="0.35">
      <c r="A151" s="41"/>
      <c r="B151" s="42"/>
      <c r="C151" s="42"/>
      <c r="D151" s="41"/>
      <c r="E151" s="41"/>
      <c r="F151" s="42"/>
      <c r="G151" s="43"/>
      <c r="H151" s="44"/>
      <c r="I151" s="41"/>
      <c r="J151" s="41"/>
      <c r="K151" s="41"/>
      <c r="L151" s="41"/>
      <c r="M151" s="41"/>
      <c r="N151" s="41"/>
      <c r="O151" s="45"/>
      <c r="P151" s="41"/>
      <c r="Q151" s="41"/>
      <c r="R151" s="41"/>
      <c r="S151" s="46"/>
      <c r="T151" s="46"/>
      <c r="U151" s="47"/>
      <c r="V151" s="47"/>
      <c r="W151" s="48"/>
      <c r="X151" s="49"/>
      <c r="Y151" s="49"/>
      <c r="Z151" s="47"/>
      <c r="AA151" s="47"/>
      <c r="AB151" s="47"/>
      <c r="AC151" s="34"/>
      <c r="AD151" s="34"/>
    </row>
    <row r="152" spans="1:30" ht="22.5" customHeight="1" x14ac:dyDescent="0.35">
      <c r="A152" s="41"/>
      <c r="B152" s="42"/>
      <c r="C152" s="42"/>
      <c r="D152" s="41"/>
      <c r="E152" s="41"/>
      <c r="F152" s="42"/>
      <c r="G152" s="43"/>
      <c r="H152" s="44"/>
      <c r="I152" s="41"/>
      <c r="J152" s="41"/>
      <c r="K152" s="41"/>
      <c r="L152" s="41"/>
      <c r="M152" s="41"/>
      <c r="N152" s="41"/>
      <c r="O152" s="45"/>
      <c r="P152" s="41"/>
      <c r="Q152" s="41"/>
      <c r="R152" s="41"/>
      <c r="S152" s="46"/>
      <c r="T152" s="46"/>
      <c r="U152" s="47"/>
      <c r="V152" s="47"/>
      <c r="W152" s="48"/>
      <c r="X152" s="49"/>
      <c r="Y152" s="49"/>
      <c r="Z152" s="47"/>
      <c r="AA152" s="47"/>
      <c r="AB152" s="47"/>
      <c r="AC152" s="34"/>
      <c r="AD152" s="34"/>
    </row>
    <row r="153" spans="1:30" ht="22.5" customHeight="1" x14ac:dyDescent="0.35">
      <c r="A153" s="41"/>
      <c r="B153" s="42"/>
      <c r="C153" s="42"/>
      <c r="D153" s="41"/>
      <c r="E153" s="41"/>
      <c r="F153" s="42"/>
      <c r="G153" s="43"/>
      <c r="H153" s="44"/>
      <c r="I153" s="41"/>
      <c r="J153" s="41"/>
      <c r="K153" s="41"/>
      <c r="L153" s="41"/>
      <c r="M153" s="41"/>
      <c r="N153" s="41"/>
      <c r="O153" s="45"/>
      <c r="P153" s="41"/>
      <c r="Q153" s="41"/>
      <c r="R153" s="41"/>
      <c r="S153" s="46"/>
      <c r="T153" s="46"/>
      <c r="U153" s="47"/>
      <c r="V153" s="47"/>
      <c r="W153" s="48"/>
      <c r="X153" s="49"/>
      <c r="Y153" s="49"/>
      <c r="Z153" s="47"/>
      <c r="AA153" s="47"/>
      <c r="AB153" s="47"/>
      <c r="AC153" s="34"/>
      <c r="AD153" s="34"/>
    </row>
    <row r="154" spans="1:30" ht="22.5" customHeight="1" x14ac:dyDescent="0.35">
      <c r="A154" s="41"/>
      <c r="B154" s="42"/>
      <c r="C154" s="42"/>
      <c r="D154" s="41"/>
      <c r="E154" s="41"/>
      <c r="F154" s="42"/>
      <c r="G154" s="43"/>
      <c r="H154" s="44"/>
      <c r="I154" s="41"/>
      <c r="J154" s="41"/>
      <c r="K154" s="41"/>
      <c r="L154" s="41"/>
      <c r="M154" s="41"/>
      <c r="N154" s="41"/>
      <c r="O154" s="45"/>
      <c r="P154" s="41"/>
      <c r="Q154" s="41"/>
      <c r="R154" s="41"/>
      <c r="S154" s="46"/>
      <c r="T154" s="46"/>
      <c r="U154" s="47"/>
      <c r="V154" s="47"/>
      <c r="W154" s="48"/>
      <c r="X154" s="49"/>
      <c r="Y154" s="49"/>
      <c r="Z154" s="47"/>
      <c r="AA154" s="47"/>
      <c r="AB154" s="47"/>
      <c r="AC154" s="34"/>
      <c r="AD154" s="34"/>
    </row>
    <row r="155" spans="1:30" ht="22.5" customHeight="1" x14ac:dyDescent="0.35">
      <c r="A155" s="41"/>
      <c r="B155" s="42"/>
      <c r="C155" s="42"/>
      <c r="D155" s="41"/>
      <c r="E155" s="41"/>
      <c r="F155" s="42"/>
      <c r="G155" s="43"/>
      <c r="H155" s="44"/>
      <c r="I155" s="41"/>
      <c r="J155" s="41"/>
      <c r="K155" s="41"/>
      <c r="L155" s="41"/>
      <c r="M155" s="41"/>
      <c r="N155" s="41"/>
      <c r="O155" s="45"/>
      <c r="P155" s="41"/>
      <c r="Q155" s="41"/>
      <c r="R155" s="41"/>
      <c r="S155" s="46"/>
      <c r="T155" s="46"/>
      <c r="U155" s="47"/>
      <c r="V155" s="47"/>
      <c r="W155" s="48"/>
      <c r="X155" s="49"/>
      <c r="Y155" s="49"/>
      <c r="Z155" s="47"/>
      <c r="AA155" s="47"/>
      <c r="AB155" s="47"/>
      <c r="AC155" s="34"/>
      <c r="AD155" s="34"/>
    </row>
    <row r="156" spans="1:30" ht="22.5" customHeight="1" x14ac:dyDescent="0.35">
      <c r="A156" s="41"/>
      <c r="B156" s="42"/>
      <c r="C156" s="42"/>
      <c r="D156" s="41"/>
      <c r="E156" s="41"/>
      <c r="F156" s="42"/>
      <c r="G156" s="43"/>
      <c r="H156" s="44"/>
      <c r="I156" s="41"/>
      <c r="J156" s="41"/>
      <c r="K156" s="41"/>
      <c r="L156" s="41"/>
      <c r="M156" s="41"/>
      <c r="N156" s="41"/>
      <c r="O156" s="45"/>
      <c r="P156" s="41"/>
      <c r="Q156" s="41"/>
      <c r="R156" s="41"/>
      <c r="S156" s="46"/>
      <c r="T156" s="46"/>
      <c r="U156" s="47"/>
      <c r="V156" s="47"/>
      <c r="W156" s="48"/>
      <c r="X156" s="49"/>
      <c r="Y156" s="49"/>
      <c r="Z156" s="47"/>
      <c r="AA156" s="47"/>
      <c r="AB156" s="47"/>
      <c r="AC156" s="34"/>
      <c r="AD156" s="34"/>
    </row>
    <row r="157" spans="1:30" ht="22.5" customHeight="1" x14ac:dyDescent="0.35">
      <c r="A157" s="41"/>
      <c r="B157" s="42"/>
      <c r="C157" s="42"/>
      <c r="D157" s="41"/>
      <c r="E157" s="41"/>
      <c r="F157" s="42"/>
      <c r="G157" s="43"/>
      <c r="H157" s="44"/>
      <c r="I157" s="41"/>
      <c r="J157" s="41"/>
      <c r="K157" s="41"/>
      <c r="L157" s="41"/>
      <c r="M157" s="41"/>
      <c r="N157" s="41"/>
      <c r="O157" s="45"/>
      <c r="P157" s="41"/>
      <c r="Q157" s="41"/>
      <c r="R157" s="41"/>
      <c r="S157" s="46"/>
      <c r="T157" s="46"/>
      <c r="U157" s="47"/>
      <c r="V157" s="47"/>
      <c r="W157" s="48"/>
      <c r="X157" s="49"/>
      <c r="Y157" s="49"/>
      <c r="Z157" s="47"/>
      <c r="AA157" s="47"/>
      <c r="AB157" s="47"/>
      <c r="AC157" s="34"/>
      <c r="AD157" s="34"/>
    </row>
    <row r="158" spans="1:30" ht="22.5" customHeight="1" x14ac:dyDescent="0.35">
      <c r="A158" s="41"/>
      <c r="B158" s="42"/>
      <c r="C158" s="42"/>
      <c r="D158" s="41"/>
      <c r="E158" s="41"/>
      <c r="F158" s="42"/>
      <c r="G158" s="43"/>
      <c r="H158" s="44"/>
      <c r="I158" s="41"/>
      <c r="J158" s="41"/>
      <c r="K158" s="41"/>
      <c r="L158" s="41"/>
      <c r="M158" s="41"/>
      <c r="N158" s="41"/>
      <c r="O158" s="45"/>
      <c r="P158" s="41"/>
      <c r="Q158" s="41"/>
      <c r="R158" s="41"/>
      <c r="S158" s="46"/>
      <c r="T158" s="46"/>
      <c r="U158" s="47"/>
      <c r="V158" s="47"/>
      <c r="W158" s="48"/>
      <c r="X158" s="49"/>
      <c r="Y158" s="49"/>
      <c r="Z158" s="47"/>
      <c r="AA158" s="47"/>
      <c r="AB158" s="47"/>
      <c r="AC158" s="34"/>
      <c r="AD158" s="34"/>
    </row>
    <row r="159" spans="1:30" ht="22.5" customHeight="1" x14ac:dyDescent="0.35">
      <c r="A159" s="41"/>
      <c r="B159" s="42"/>
      <c r="C159" s="42"/>
      <c r="D159" s="41"/>
      <c r="E159" s="41"/>
      <c r="F159" s="42"/>
      <c r="G159" s="43"/>
      <c r="H159" s="44"/>
      <c r="I159" s="41"/>
      <c r="J159" s="41"/>
      <c r="K159" s="41"/>
      <c r="L159" s="41"/>
      <c r="M159" s="41"/>
      <c r="N159" s="41"/>
      <c r="O159" s="45"/>
      <c r="P159" s="41"/>
      <c r="Q159" s="41"/>
      <c r="R159" s="41"/>
      <c r="S159" s="46"/>
      <c r="T159" s="46"/>
      <c r="U159" s="47"/>
      <c r="V159" s="47"/>
      <c r="W159" s="48"/>
      <c r="X159" s="49"/>
      <c r="Y159" s="49"/>
      <c r="Z159" s="47"/>
      <c r="AA159" s="47"/>
      <c r="AB159" s="47"/>
      <c r="AC159" s="34"/>
      <c r="AD159" s="34"/>
    </row>
    <row r="160" spans="1:30" ht="22.5" customHeight="1" x14ac:dyDescent="0.35">
      <c r="A160" s="41"/>
      <c r="B160" s="42"/>
      <c r="C160" s="42"/>
      <c r="D160" s="41"/>
      <c r="E160" s="41"/>
      <c r="F160" s="42"/>
      <c r="G160" s="43"/>
      <c r="H160" s="44"/>
      <c r="I160" s="41"/>
      <c r="J160" s="41"/>
      <c r="K160" s="41"/>
      <c r="L160" s="41"/>
      <c r="M160" s="41"/>
      <c r="N160" s="41"/>
      <c r="O160" s="45"/>
      <c r="P160" s="41"/>
      <c r="Q160" s="41"/>
      <c r="R160" s="41"/>
      <c r="S160" s="46"/>
      <c r="T160" s="46"/>
      <c r="U160" s="47"/>
      <c r="V160" s="47"/>
      <c r="W160" s="48"/>
      <c r="X160" s="49"/>
      <c r="Y160" s="49"/>
      <c r="Z160" s="47"/>
      <c r="AA160" s="47"/>
      <c r="AB160" s="47"/>
      <c r="AC160" s="34"/>
      <c r="AD160" s="34"/>
    </row>
    <row r="161" spans="1:30" ht="22.5" customHeight="1" x14ac:dyDescent="0.35">
      <c r="A161" s="41"/>
      <c r="B161" s="42"/>
      <c r="C161" s="42"/>
      <c r="D161" s="41"/>
      <c r="E161" s="41"/>
      <c r="F161" s="42"/>
      <c r="G161" s="43"/>
      <c r="H161" s="44"/>
      <c r="I161" s="41"/>
      <c r="J161" s="41"/>
      <c r="K161" s="41"/>
      <c r="L161" s="41"/>
      <c r="M161" s="41"/>
      <c r="N161" s="41"/>
      <c r="O161" s="45"/>
      <c r="P161" s="41"/>
      <c r="Q161" s="41"/>
      <c r="R161" s="41"/>
      <c r="S161" s="46"/>
      <c r="T161" s="46"/>
      <c r="U161" s="47"/>
      <c r="V161" s="47"/>
      <c r="W161" s="48"/>
      <c r="X161" s="49"/>
      <c r="Y161" s="49"/>
      <c r="Z161" s="47"/>
      <c r="AA161" s="47"/>
      <c r="AB161" s="47"/>
      <c r="AC161" s="34"/>
      <c r="AD161" s="34"/>
    </row>
    <row r="162" spans="1:30" ht="22.5" customHeight="1" x14ac:dyDescent="0.35">
      <c r="A162" s="41"/>
      <c r="B162" s="42"/>
      <c r="C162" s="42"/>
      <c r="D162" s="41"/>
      <c r="E162" s="41"/>
      <c r="F162" s="42"/>
      <c r="G162" s="43"/>
      <c r="H162" s="44"/>
      <c r="I162" s="41"/>
      <c r="J162" s="41"/>
      <c r="K162" s="41"/>
      <c r="L162" s="41"/>
      <c r="M162" s="41"/>
      <c r="N162" s="41"/>
      <c r="O162" s="45"/>
      <c r="P162" s="41"/>
      <c r="Q162" s="41"/>
      <c r="R162" s="41"/>
      <c r="S162" s="46"/>
      <c r="T162" s="46"/>
      <c r="U162" s="47"/>
      <c r="V162" s="47"/>
      <c r="W162" s="48"/>
      <c r="X162" s="49"/>
      <c r="Y162" s="49"/>
      <c r="Z162" s="47"/>
      <c r="AA162" s="47"/>
      <c r="AB162" s="47"/>
      <c r="AC162" s="34"/>
      <c r="AD162" s="34"/>
    </row>
    <row r="163" spans="1:30" ht="22.5" customHeight="1" x14ac:dyDescent="0.35">
      <c r="A163" s="41"/>
      <c r="B163" s="42"/>
      <c r="C163" s="42"/>
      <c r="D163" s="41"/>
      <c r="E163" s="41"/>
      <c r="F163" s="42"/>
      <c r="G163" s="43"/>
      <c r="H163" s="44"/>
      <c r="I163" s="41"/>
      <c r="J163" s="41"/>
      <c r="K163" s="41"/>
      <c r="L163" s="41"/>
      <c r="M163" s="41"/>
      <c r="N163" s="41"/>
      <c r="O163" s="45"/>
      <c r="P163" s="41"/>
      <c r="Q163" s="41"/>
      <c r="R163" s="41"/>
      <c r="S163" s="46"/>
      <c r="T163" s="46"/>
      <c r="U163" s="47"/>
      <c r="V163" s="47"/>
      <c r="W163" s="48"/>
      <c r="X163" s="49"/>
      <c r="Y163" s="49"/>
      <c r="Z163" s="47"/>
      <c r="AA163" s="47"/>
      <c r="AB163" s="47"/>
      <c r="AC163" s="34"/>
      <c r="AD163" s="34"/>
    </row>
    <row r="164" spans="1:30" ht="22.5" customHeight="1" x14ac:dyDescent="0.35">
      <c r="A164" s="41"/>
      <c r="B164" s="42"/>
      <c r="C164" s="42"/>
      <c r="D164" s="41"/>
      <c r="E164" s="41"/>
      <c r="F164" s="42"/>
      <c r="G164" s="43"/>
      <c r="H164" s="44"/>
      <c r="I164" s="41"/>
      <c r="J164" s="41"/>
      <c r="K164" s="41"/>
      <c r="L164" s="41"/>
      <c r="M164" s="41"/>
      <c r="N164" s="41"/>
      <c r="O164" s="45"/>
      <c r="P164" s="41"/>
      <c r="Q164" s="41"/>
      <c r="R164" s="41"/>
      <c r="S164" s="46"/>
      <c r="T164" s="46"/>
      <c r="U164" s="47"/>
      <c r="V164" s="47"/>
      <c r="W164" s="48"/>
      <c r="X164" s="49"/>
      <c r="Y164" s="49"/>
      <c r="Z164" s="47"/>
      <c r="AA164" s="47"/>
      <c r="AB164" s="47"/>
      <c r="AC164" s="34"/>
      <c r="AD164" s="34"/>
    </row>
    <row r="165" spans="1:30" ht="22.5" customHeight="1" x14ac:dyDescent="0.35">
      <c r="A165" s="41"/>
      <c r="B165" s="42"/>
      <c r="C165" s="42"/>
      <c r="D165" s="41"/>
      <c r="E165" s="41"/>
      <c r="F165" s="42"/>
      <c r="G165" s="43"/>
      <c r="H165" s="44"/>
      <c r="I165" s="41"/>
      <c r="J165" s="41"/>
      <c r="K165" s="41"/>
      <c r="L165" s="41"/>
      <c r="M165" s="41"/>
      <c r="N165" s="41"/>
      <c r="O165" s="45"/>
      <c r="P165" s="41"/>
      <c r="Q165" s="41"/>
      <c r="R165" s="41"/>
      <c r="S165" s="46"/>
      <c r="T165" s="46"/>
      <c r="U165" s="47"/>
      <c r="V165" s="47"/>
      <c r="W165" s="48"/>
      <c r="X165" s="49"/>
      <c r="Y165" s="49"/>
      <c r="Z165" s="47"/>
      <c r="AA165" s="47"/>
      <c r="AB165" s="47"/>
      <c r="AC165" s="34"/>
      <c r="AD165" s="34"/>
    </row>
    <row r="166" spans="1:30" ht="22.5" customHeight="1" x14ac:dyDescent="0.35">
      <c r="A166" s="41"/>
      <c r="B166" s="42"/>
      <c r="C166" s="42"/>
      <c r="D166" s="41"/>
      <c r="E166" s="41"/>
      <c r="F166" s="42"/>
      <c r="G166" s="43"/>
      <c r="H166" s="44"/>
      <c r="I166" s="41"/>
      <c r="J166" s="41"/>
      <c r="K166" s="41"/>
      <c r="L166" s="41"/>
      <c r="M166" s="41"/>
      <c r="N166" s="41"/>
      <c r="O166" s="45"/>
      <c r="P166" s="41"/>
      <c r="Q166" s="41"/>
      <c r="R166" s="41"/>
      <c r="S166" s="46"/>
      <c r="T166" s="46"/>
      <c r="U166" s="47"/>
      <c r="V166" s="47"/>
      <c r="W166" s="48"/>
      <c r="X166" s="49"/>
      <c r="Y166" s="49"/>
      <c r="Z166" s="47"/>
      <c r="AA166" s="47"/>
      <c r="AB166" s="47"/>
      <c r="AC166" s="34"/>
      <c r="AD166" s="34"/>
    </row>
    <row r="167" spans="1:30" ht="22.5" customHeight="1" x14ac:dyDescent="0.35">
      <c r="A167" s="41"/>
      <c r="B167" s="42"/>
      <c r="C167" s="42"/>
      <c r="D167" s="41"/>
      <c r="E167" s="41"/>
      <c r="F167" s="42"/>
      <c r="G167" s="43"/>
      <c r="H167" s="44"/>
      <c r="I167" s="41"/>
      <c r="J167" s="41"/>
      <c r="K167" s="41"/>
      <c r="L167" s="41"/>
      <c r="M167" s="41"/>
      <c r="N167" s="41"/>
      <c r="O167" s="45"/>
      <c r="P167" s="41"/>
      <c r="Q167" s="41"/>
      <c r="R167" s="41"/>
      <c r="S167" s="46"/>
      <c r="T167" s="46"/>
      <c r="U167" s="47"/>
      <c r="V167" s="47"/>
      <c r="W167" s="48"/>
      <c r="X167" s="49"/>
      <c r="Y167" s="49"/>
      <c r="Z167" s="47"/>
      <c r="AA167" s="47"/>
      <c r="AB167" s="47"/>
      <c r="AC167" s="34"/>
      <c r="AD167" s="34"/>
    </row>
    <row r="168" spans="1:30" ht="22.5" customHeight="1" x14ac:dyDescent="0.35">
      <c r="A168" s="41"/>
      <c r="B168" s="42"/>
      <c r="C168" s="42"/>
      <c r="D168" s="41"/>
      <c r="E168" s="41"/>
      <c r="F168" s="42"/>
      <c r="G168" s="43"/>
      <c r="H168" s="44"/>
      <c r="I168" s="41"/>
      <c r="J168" s="41"/>
      <c r="K168" s="41"/>
      <c r="L168" s="41"/>
      <c r="M168" s="41"/>
      <c r="N168" s="41"/>
      <c r="O168" s="45"/>
      <c r="P168" s="41"/>
      <c r="Q168" s="41"/>
      <c r="R168" s="41"/>
      <c r="S168" s="46"/>
      <c r="T168" s="46"/>
      <c r="U168" s="47"/>
      <c r="V168" s="47"/>
      <c r="W168" s="48"/>
      <c r="X168" s="49"/>
      <c r="Y168" s="49"/>
      <c r="Z168" s="47"/>
      <c r="AA168" s="47"/>
      <c r="AB168" s="47"/>
      <c r="AC168" s="34"/>
      <c r="AD168" s="34"/>
    </row>
    <row r="169" spans="1:30" ht="22.5" customHeight="1" x14ac:dyDescent="0.35">
      <c r="A169" s="41"/>
      <c r="B169" s="42"/>
      <c r="C169" s="42"/>
      <c r="D169" s="41"/>
      <c r="E169" s="41"/>
      <c r="F169" s="42"/>
      <c r="G169" s="43"/>
      <c r="H169" s="44"/>
      <c r="I169" s="41"/>
      <c r="J169" s="41"/>
      <c r="K169" s="41"/>
      <c r="L169" s="41"/>
      <c r="M169" s="41"/>
      <c r="N169" s="41"/>
      <c r="O169" s="45"/>
      <c r="P169" s="41"/>
      <c r="Q169" s="41"/>
      <c r="R169" s="41"/>
      <c r="S169" s="46"/>
      <c r="T169" s="46"/>
      <c r="U169" s="47"/>
      <c r="V169" s="47"/>
      <c r="W169" s="48"/>
      <c r="X169" s="49"/>
      <c r="Y169" s="49"/>
      <c r="Z169" s="47"/>
      <c r="AA169" s="47"/>
      <c r="AB169" s="47"/>
      <c r="AC169" s="34"/>
      <c r="AD169" s="34"/>
    </row>
    <row r="170" spans="1:30" ht="22.5" customHeight="1" x14ac:dyDescent="0.35">
      <c r="A170" s="41"/>
      <c r="B170" s="42"/>
      <c r="C170" s="42"/>
      <c r="D170" s="41"/>
      <c r="E170" s="41"/>
      <c r="F170" s="42"/>
      <c r="G170" s="43"/>
      <c r="H170" s="44"/>
      <c r="I170" s="41"/>
      <c r="J170" s="41"/>
      <c r="K170" s="41"/>
      <c r="L170" s="41"/>
      <c r="M170" s="41"/>
      <c r="N170" s="41"/>
      <c r="O170" s="45"/>
      <c r="P170" s="41"/>
      <c r="Q170" s="41"/>
      <c r="R170" s="41"/>
      <c r="S170" s="46"/>
      <c r="T170" s="46"/>
      <c r="U170" s="47"/>
      <c r="V170" s="47"/>
      <c r="W170" s="48"/>
      <c r="X170" s="49"/>
      <c r="Y170" s="49"/>
      <c r="Z170" s="47"/>
      <c r="AA170" s="47"/>
      <c r="AB170" s="47"/>
      <c r="AC170" s="34"/>
      <c r="AD170" s="34"/>
    </row>
    <row r="171" spans="1:30" ht="22.5" customHeight="1" x14ac:dyDescent="0.35">
      <c r="A171" s="41"/>
      <c r="B171" s="42"/>
      <c r="C171" s="42"/>
      <c r="D171" s="41"/>
      <c r="E171" s="41"/>
      <c r="F171" s="42"/>
      <c r="G171" s="43"/>
      <c r="H171" s="44"/>
      <c r="I171" s="41"/>
      <c r="J171" s="41"/>
      <c r="K171" s="41"/>
      <c r="L171" s="41"/>
      <c r="M171" s="41"/>
      <c r="N171" s="41"/>
      <c r="O171" s="45"/>
      <c r="P171" s="41"/>
      <c r="Q171" s="41"/>
      <c r="R171" s="41"/>
      <c r="S171" s="46"/>
      <c r="T171" s="46"/>
      <c r="U171" s="47"/>
      <c r="V171" s="47"/>
      <c r="W171" s="48"/>
      <c r="X171" s="49"/>
      <c r="Y171" s="49"/>
      <c r="Z171" s="47"/>
      <c r="AA171" s="47"/>
      <c r="AB171" s="47"/>
      <c r="AC171" s="34"/>
      <c r="AD171" s="34"/>
    </row>
    <row r="172" spans="1:30" ht="22.5" customHeight="1" x14ac:dyDescent="0.35">
      <c r="A172" s="41"/>
      <c r="B172" s="42"/>
      <c r="C172" s="42"/>
      <c r="D172" s="41"/>
      <c r="E172" s="41"/>
      <c r="F172" s="42"/>
      <c r="G172" s="43"/>
      <c r="H172" s="44"/>
      <c r="I172" s="41"/>
      <c r="J172" s="41"/>
      <c r="K172" s="41"/>
      <c r="L172" s="41"/>
      <c r="M172" s="41"/>
      <c r="N172" s="41"/>
      <c r="O172" s="45"/>
      <c r="P172" s="41"/>
      <c r="Q172" s="41"/>
      <c r="R172" s="41"/>
      <c r="S172" s="46"/>
      <c r="T172" s="46"/>
      <c r="U172" s="47"/>
      <c r="V172" s="47"/>
      <c r="W172" s="48"/>
      <c r="X172" s="49"/>
      <c r="Y172" s="49"/>
      <c r="Z172" s="47"/>
      <c r="AA172" s="47"/>
      <c r="AB172" s="47"/>
      <c r="AC172" s="34"/>
      <c r="AD172" s="34"/>
    </row>
    <row r="173" spans="1:30" ht="22.5" customHeight="1" x14ac:dyDescent="0.35">
      <c r="A173" s="41"/>
      <c r="B173" s="42"/>
      <c r="C173" s="42"/>
      <c r="D173" s="41"/>
      <c r="E173" s="41"/>
      <c r="F173" s="42"/>
      <c r="G173" s="43"/>
      <c r="H173" s="44"/>
      <c r="I173" s="41"/>
      <c r="J173" s="41"/>
      <c r="K173" s="41"/>
      <c r="L173" s="41"/>
      <c r="M173" s="41"/>
      <c r="N173" s="41"/>
      <c r="O173" s="45"/>
      <c r="P173" s="41"/>
      <c r="Q173" s="41"/>
      <c r="R173" s="41"/>
      <c r="S173" s="46"/>
      <c r="T173" s="46"/>
      <c r="U173" s="47"/>
      <c r="V173" s="47"/>
      <c r="W173" s="48"/>
      <c r="X173" s="49"/>
      <c r="Y173" s="49"/>
      <c r="Z173" s="47"/>
      <c r="AA173" s="47"/>
      <c r="AB173" s="47"/>
      <c r="AC173" s="34"/>
      <c r="AD173" s="34"/>
    </row>
    <row r="174" spans="1:30" ht="22.5" customHeight="1" x14ac:dyDescent="0.35">
      <c r="A174" s="41"/>
      <c r="B174" s="42"/>
      <c r="C174" s="42"/>
      <c r="D174" s="41"/>
      <c r="E174" s="41"/>
      <c r="F174" s="42"/>
      <c r="G174" s="43"/>
      <c r="H174" s="44"/>
      <c r="I174" s="41"/>
      <c r="J174" s="41"/>
      <c r="K174" s="41"/>
      <c r="L174" s="41"/>
      <c r="M174" s="41"/>
      <c r="N174" s="41"/>
      <c r="O174" s="45"/>
      <c r="P174" s="41"/>
      <c r="Q174" s="41"/>
      <c r="R174" s="41"/>
      <c r="S174" s="46"/>
      <c r="T174" s="46"/>
      <c r="U174" s="47"/>
      <c r="V174" s="47"/>
      <c r="W174" s="48"/>
      <c r="X174" s="49"/>
      <c r="Y174" s="49"/>
      <c r="Z174" s="47"/>
      <c r="AA174" s="47"/>
      <c r="AB174" s="47"/>
      <c r="AC174" s="34"/>
      <c r="AD174" s="34"/>
    </row>
    <row r="175" spans="1:30" ht="22.5" customHeight="1" x14ac:dyDescent="0.35">
      <c r="A175" s="41"/>
      <c r="B175" s="42"/>
      <c r="C175" s="42"/>
      <c r="D175" s="41"/>
      <c r="E175" s="41"/>
      <c r="F175" s="42"/>
      <c r="G175" s="43"/>
      <c r="H175" s="44"/>
      <c r="I175" s="41"/>
      <c r="J175" s="41"/>
      <c r="K175" s="41"/>
      <c r="L175" s="41"/>
      <c r="M175" s="41"/>
      <c r="N175" s="41"/>
      <c r="O175" s="45"/>
      <c r="P175" s="41"/>
      <c r="Q175" s="41"/>
      <c r="R175" s="41"/>
      <c r="S175" s="46"/>
      <c r="T175" s="46"/>
      <c r="U175" s="47"/>
      <c r="V175" s="47"/>
      <c r="W175" s="48"/>
      <c r="X175" s="49"/>
      <c r="Y175" s="49"/>
      <c r="Z175" s="47"/>
      <c r="AA175" s="47"/>
      <c r="AB175" s="47"/>
      <c r="AC175" s="34"/>
      <c r="AD175" s="34"/>
    </row>
    <row r="176" spans="1:30" ht="22.5" customHeight="1" x14ac:dyDescent="0.35">
      <c r="A176" s="41"/>
      <c r="B176" s="42"/>
      <c r="C176" s="42"/>
      <c r="D176" s="41"/>
      <c r="E176" s="41"/>
      <c r="F176" s="42"/>
      <c r="G176" s="43"/>
      <c r="H176" s="44"/>
      <c r="I176" s="41"/>
      <c r="J176" s="41"/>
      <c r="K176" s="41"/>
      <c r="L176" s="41"/>
      <c r="M176" s="41"/>
      <c r="N176" s="41"/>
      <c r="O176" s="45"/>
      <c r="P176" s="41"/>
      <c r="Q176" s="41"/>
      <c r="R176" s="41"/>
      <c r="S176" s="46"/>
      <c r="T176" s="46"/>
      <c r="U176" s="47"/>
      <c r="V176" s="47"/>
      <c r="W176" s="48"/>
      <c r="X176" s="49"/>
      <c r="Y176" s="49"/>
      <c r="Z176" s="47"/>
      <c r="AA176" s="47"/>
      <c r="AB176" s="47"/>
      <c r="AC176" s="34"/>
      <c r="AD176" s="34"/>
    </row>
    <row r="177" spans="1:30" ht="22.5" customHeight="1" x14ac:dyDescent="0.35">
      <c r="A177" s="41"/>
      <c r="B177" s="42"/>
      <c r="C177" s="42"/>
      <c r="D177" s="41"/>
      <c r="E177" s="41"/>
      <c r="F177" s="42"/>
      <c r="G177" s="43"/>
      <c r="H177" s="44"/>
      <c r="I177" s="41"/>
      <c r="J177" s="41"/>
      <c r="K177" s="41"/>
      <c r="L177" s="41"/>
      <c r="M177" s="41"/>
      <c r="N177" s="41"/>
      <c r="O177" s="45"/>
      <c r="P177" s="41"/>
      <c r="Q177" s="41"/>
      <c r="R177" s="41"/>
      <c r="S177" s="46"/>
      <c r="T177" s="46"/>
      <c r="U177" s="47"/>
      <c r="V177" s="47"/>
      <c r="W177" s="48"/>
      <c r="X177" s="49"/>
      <c r="Y177" s="49"/>
      <c r="Z177" s="47"/>
      <c r="AA177" s="47"/>
      <c r="AB177" s="47"/>
      <c r="AC177" s="34"/>
      <c r="AD177" s="34"/>
    </row>
    <row r="178" spans="1:30" ht="22.5" customHeight="1" x14ac:dyDescent="0.35">
      <c r="A178" s="41"/>
      <c r="B178" s="42"/>
      <c r="C178" s="42"/>
      <c r="D178" s="41"/>
      <c r="E178" s="41"/>
      <c r="F178" s="42"/>
      <c r="G178" s="43"/>
      <c r="H178" s="44"/>
      <c r="I178" s="41"/>
      <c r="J178" s="41"/>
      <c r="K178" s="41"/>
      <c r="L178" s="41"/>
      <c r="M178" s="41"/>
      <c r="N178" s="41"/>
      <c r="O178" s="45"/>
      <c r="P178" s="41"/>
      <c r="Q178" s="41"/>
      <c r="R178" s="41"/>
      <c r="S178" s="46"/>
      <c r="T178" s="46"/>
      <c r="U178" s="47"/>
      <c r="V178" s="47"/>
      <c r="W178" s="48"/>
      <c r="X178" s="49"/>
      <c r="Y178" s="49"/>
      <c r="Z178" s="47"/>
      <c r="AA178" s="47"/>
      <c r="AB178" s="47"/>
      <c r="AC178" s="34"/>
      <c r="AD178" s="34"/>
    </row>
    <row r="179" spans="1:30" ht="22.5" customHeight="1" x14ac:dyDescent="0.35">
      <c r="A179" s="41"/>
      <c r="B179" s="42"/>
      <c r="C179" s="42"/>
      <c r="D179" s="41"/>
      <c r="E179" s="41"/>
      <c r="F179" s="42"/>
      <c r="G179" s="43"/>
      <c r="H179" s="44"/>
      <c r="I179" s="41"/>
      <c r="J179" s="41"/>
      <c r="K179" s="41"/>
      <c r="L179" s="41"/>
      <c r="M179" s="41"/>
      <c r="N179" s="41"/>
      <c r="O179" s="45"/>
      <c r="P179" s="41"/>
      <c r="Q179" s="41"/>
      <c r="R179" s="41"/>
      <c r="S179" s="46"/>
      <c r="T179" s="46"/>
      <c r="U179" s="47"/>
      <c r="V179" s="47"/>
      <c r="W179" s="48"/>
      <c r="X179" s="49"/>
      <c r="Y179" s="49"/>
      <c r="Z179" s="47"/>
      <c r="AA179" s="47"/>
      <c r="AB179" s="47"/>
      <c r="AC179" s="34"/>
      <c r="AD179" s="34"/>
    </row>
    <row r="180" spans="1:30" ht="22.5" customHeight="1" x14ac:dyDescent="0.35">
      <c r="A180" s="41"/>
      <c r="B180" s="42"/>
      <c r="C180" s="42"/>
      <c r="D180" s="41"/>
      <c r="E180" s="41"/>
      <c r="F180" s="42"/>
      <c r="G180" s="43"/>
      <c r="H180" s="44"/>
      <c r="I180" s="41"/>
      <c r="J180" s="41"/>
      <c r="K180" s="41"/>
      <c r="L180" s="41"/>
      <c r="M180" s="41"/>
      <c r="N180" s="41"/>
      <c r="O180" s="45"/>
      <c r="P180" s="41"/>
      <c r="Q180" s="41"/>
      <c r="R180" s="41"/>
      <c r="S180" s="46"/>
      <c r="T180" s="46"/>
      <c r="U180" s="47"/>
      <c r="V180" s="47"/>
      <c r="W180" s="48"/>
      <c r="X180" s="49"/>
      <c r="Y180" s="49"/>
      <c r="Z180" s="47"/>
      <c r="AA180" s="47"/>
      <c r="AB180" s="47"/>
      <c r="AC180" s="34"/>
      <c r="AD180" s="34"/>
    </row>
    <row r="181" spans="1:30" ht="22.5" customHeight="1" x14ac:dyDescent="0.35">
      <c r="A181" s="41"/>
      <c r="B181" s="42"/>
      <c r="C181" s="42"/>
      <c r="D181" s="41"/>
      <c r="E181" s="41"/>
      <c r="F181" s="42"/>
      <c r="G181" s="43"/>
      <c r="H181" s="44"/>
      <c r="I181" s="41"/>
      <c r="J181" s="41"/>
      <c r="K181" s="41"/>
      <c r="L181" s="41"/>
      <c r="M181" s="41"/>
      <c r="N181" s="41"/>
      <c r="O181" s="45"/>
      <c r="P181" s="41"/>
      <c r="Q181" s="41"/>
      <c r="R181" s="41"/>
      <c r="S181" s="46"/>
      <c r="T181" s="46"/>
      <c r="U181" s="47"/>
      <c r="V181" s="47"/>
      <c r="W181" s="48"/>
      <c r="X181" s="49"/>
      <c r="Y181" s="49"/>
      <c r="Z181" s="47"/>
      <c r="AA181" s="47"/>
      <c r="AB181" s="47"/>
      <c r="AC181" s="34"/>
      <c r="AD181" s="34"/>
    </row>
    <row r="182" spans="1:30" ht="22.5" customHeight="1" x14ac:dyDescent="0.35">
      <c r="A182" s="41"/>
      <c r="B182" s="42"/>
      <c r="C182" s="42"/>
      <c r="D182" s="41"/>
      <c r="E182" s="41"/>
      <c r="F182" s="42"/>
      <c r="G182" s="43"/>
      <c r="H182" s="44"/>
      <c r="I182" s="41"/>
      <c r="J182" s="41"/>
      <c r="K182" s="41"/>
      <c r="L182" s="41"/>
      <c r="M182" s="41"/>
      <c r="N182" s="41"/>
      <c r="O182" s="45"/>
      <c r="P182" s="41"/>
      <c r="Q182" s="41"/>
      <c r="R182" s="41"/>
      <c r="S182" s="46"/>
      <c r="T182" s="46"/>
      <c r="U182" s="47"/>
      <c r="V182" s="47"/>
      <c r="W182" s="48"/>
      <c r="X182" s="49"/>
      <c r="Y182" s="49"/>
      <c r="Z182" s="47"/>
      <c r="AA182" s="47"/>
      <c r="AB182" s="47"/>
      <c r="AC182" s="34"/>
      <c r="AD182" s="34"/>
    </row>
    <row r="183" spans="1:30" ht="22.5" customHeight="1" x14ac:dyDescent="0.35">
      <c r="A183" s="41"/>
      <c r="B183" s="42"/>
      <c r="C183" s="42"/>
      <c r="D183" s="41"/>
      <c r="E183" s="41"/>
      <c r="F183" s="42"/>
      <c r="G183" s="43"/>
      <c r="H183" s="44"/>
      <c r="I183" s="41"/>
      <c r="J183" s="41"/>
      <c r="K183" s="41"/>
      <c r="L183" s="41"/>
      <c r="M183" s="41"/>
      <c r="N183" s="41"/>
      <c r="O183" s="45"/>
      <c r="P183" s="41"/>
      <c r="Q183" s="41"/>
      <c r="R183" s="41"/>
      <c r="S183" s="46"/>
      <c r="T183" s="46"/>
      <c r="U183" s="47"/>
      <c r="V183" s="47"/>
      <c r="W183" s="48"/>
      <c r="X183" s="49"/>
      <c r="Y183" s="49"/>
      <c r="Z183" s="47"/>
      <c r="AA183" s="47"/>
      <c r="AB183" s="47"/>
      <c r="AC183" s="34"/>
      <c r="AD183" s="34"/>
    </row>
    <row r="184" spans="1:30" ht="22.5" customHeight="1" x14ac:dyDescent="0.35">
      <c r="A184" s="41"/>
      <c r="B184" s="42"/>
      <c r="C184" s="42"/>
      <c r="D184" s="41"/>
      <c r="E184" s="41"/>
      <c r="F184" s="42"/>
      <c r="G184" s="43"/>
      <c r="H184" s="44"/>
      <c r="I184" s="41"/>
      <c r="J184" s="41"/>
      <c r="K184" s="41"/>
      <c r="L184" s="41"/>
      <c r="M184" s="41"/>
      <c r="N184" s="41"/>
      <c r="O184" s="45"/>
      <c r="P184" s="41"/>
      <c r="Q184" s="41"/>
      <c r="R184" s="41"/>
      <c r="S184" s="46"/>
      <c r="T184" s="46"/>
      <c r="U184" s="47"/>
      <c r="V184" s="47"/>
      <c r="W184" s="48"/>
      <c r="X184" s="49"/>
      <c r="Y184" s="49"/>
      <c r="Z184" s="47"/>
      <c r="AA184" s="47"/>
      <c r="AB184" s="47"/>
      <c r="AC184" s="34"/>
      <c r="AD184" s="34"/>
    </row>
    <row r="185" spans="1:30" ht="22.5" customHeight="1" x14ac:dyDescent="0.35">
      <c r="A185" s="41"/>
      <c r="B185" s="42"/>
      <c r="C185" s="42"/>
      <c r="D185" s="41"/>
      <c r="E185" s="41"/>
      <c r="F185" s="42"/>
      <c r="G185" s="43"/>
      <c r="H185" s="44"/>
      <c r="I185" s="41"/>
      <c r="J185" s="41"/>
      <c r="K185" s="41"/>
      <c r="L185" s="41"/>
      <c r="M185" s="41"/>
      <c r="N185" s="41"/>
      <c r="O185" s="45"/>
      <c r="P185" s="41"/>
      <c r="Q185" s="41"/>
      <c r="R185" s="41"/>
      <c r="S185" s="46"/>
      <c r="T185" s="46"/>
      <c r="U185" s="47"/>
      <c r="V185" s="47"/>
      <c r="W185" s="48"/>
      <c r="X185" s="49"/>
      <c r="Y185" s="49"/>
      <c r="Z185" s="47"/>
      <c r="AA185" s="47"/>
      <c r="AB185" s="47"/>
      <c r="AC185" s="34"/>
      <c r="AD185" s="34"/>
    </row>
    <row r="186" spans="1:30" ht="22.5" customHeight="1" x14ac:dyDescent="0.35">
      <c r="A186" s="41"/>
      <c r="B186" s="42"/>
      <c r="C186" s="42"/>
      <c r="D186" s="41"/>
      <c r="E186" s="41"/>
      <c r="F186" s="42"/>
      <c r="G186" s="43"/>
      <c r="H186" s="44"/>
      <c r="I186" s="41"/>
      <c r="J186" s="41"/>
      <c r="K186" s="41"/>
      <c r="L186" s="41"/>
      <c r="M186" s="41"/>
      <c r="N186" s="41"/>
      <c r="O186" s="45"/>
      <c r="P186" s="41"/>
      <c r="Q186" s="41"/>
      <c r="R186" s="41"/>
      <c r="S186" s="46"/>
      <c r="T186" s="46"/>
      <c r="U186" s="47"/>
      <c r="V186" s="47"/>
      <c r="W186" s="48"/>
      <c r="X186" s="49"/>
      <c r="Y186" s="49"/>
      <c r="Z186" s="47"/>
      <c r="AA186" s="47"/>
      <c r="AB186" s="47"/>
      <c r="AC186" s="34"/>
      <c r="AD186" s="34"/>
    </row>
    <row r="187" spans="1:30" ht="22.5" customHeight="1" x14ac:dyDescent="0.35">
      <c r="A187" s="41"/>
      <c r="B187" s="42"/>
      <c r="C187" s="42"/>
      <c r="D187" s="41"/>
      <c r="E187" s="41"/>
      <c r="F187" s="42"/>
      <c r="G187" s="43"/>
      <c r="H187" s="44"/>
      <c r="I187" s="41"/>
      <c r="J187" s="41"/>
      <c r="K187" s="41"/>
      <c r="L187" s="41"/>
      <c r="M187" s="41"/>
      <c r="N187" s="41"/>
      <c r="O187" s="45"/>
      <c r="P187" s="41"/>
      <c r="Q187" s="41"/>
      <c r="R187" s="41"/>
      <c r="S187" s="46"/>
      <c r="T187" s="46"/>
      <c r="U187" s="47"/>
      <c r="V187" s="47"/>
      <c r="W187" s="48"/>
      <c r="X187" s="49"/>
      <c r="Y187" s="49"/>
      <c r="Z187" s="47"/>
      <c r="AA187" s="47"/>
      <c r="AB187" s="47"/>
      <c r="AC187" s="34"/>
      <c r="AD187" s="34"/>
    </row>
    <row r="188" spans="1:30" ht="22.5" customHeight="1" x14ac:dyDescent="0.35">
      <c r="A188" s="41"/>
      <c r="B188" s="42"/>
      <c r="C188" s="42"/>
      <c r="D188" s="41"/>
      <c r="E188" s="41"/>
      <c r="F188" s="42"/>
      <c r="G188" s="43"/>
      <c r="H188" s="44"/>
      <c r="I188" s="41"/>
      <c r="J188" s="41"/>
      <c r="K188" s="41"/>
      <c r="L188" s="41"/>
      <c r="M188" s="41"/>
      <c r="N188" s="41"/>
      <c r="O188" s="45"/>
      <c r="P188" s="41"/>
      <c r="Q188" s="41"/>
      <c r="R188" s="41"/>
      <c r="S188" s="46"/>
      <c r="T188" s="46"/>
      <c r="U188" s="47"/>
      <c r="V188" s="47"/>
      <c r="W188" s="48"/>
      <c r="X188" s="49"/>
      <c r="Y188" s="49"/>
      <c r="Z188" s="47"/>
      <c r="AA188" s="47"/>
      <c r="AB188" s="47"/>
      <c r="AC188" s="34"/>
      <c r="AD188" s="34"/>
    </row>
    <row r="189" spans="1:30" ht="22.5" customHeight="1" x14ac:dyDescent="0.35">
      <c r="A189" s="41"/>
      <c r="B189" s="42"/>
      <c r="C189" s="42"/>
      <c r="D189" s="41"/>
      <c r="E189" s="41"/>
      <c r="F189" s="42"/>
      <c r="G189" s="43"/>
      <c r="H189" s="44"/>
      <c r="I189" s="41"/>
      <c r="J189" s="41"/>
      <c r="K189" s="41"/>
      <c r="L189" s="41"/>
      <c r="M189" s="41"/>
      <c r="N189" s="41"/>
      <c r="O189" s="45"/>
      <c r="P189" s="41"/>
      <c r="Q189" s="41"/>
      <c r="R189" s="41"/>
      <c r="S189" s="46"/>
      <c r="T189" s="46"/>
      <c r="U189" s="47"/>
      <c r="V189" s="47"/>
      <c r="W189" s="48"/>
      <c r="X189" s="49"/>
      <c r="Y189" s="49"/>
      <c r="Z189" s="47"/>
      <c r="AA189" s="47"/>
      <c r="AB189" s="47"/>
      <c r="AC189" s="34"/>
      <c r="AD189" s="34"/>
    </row>
    <row r="190" spans="1:30" ht="22.5" customHeight="1" x14ac:dyDescent="0.35">
      <c r="A190" s="41"/>
      <c r="B190" s="42"/>
      <c r="C190" s="42"/>
      <c r="D190" s="41"/>
      <c r="E190" s="41"/>
      <c r="F190" s="42"/>
      <c r="G190" s="43"/>
      <c r="H190" s="44"/>
      <c r="I190" s="41"/>
      <c r="J190" s="41"/>
      <c r="K190" s="41"/>
      <c r="L190" s="41"/>
      <c r="M190" s="41"/>
      <c r="N190" s="41"/>
      <c r="O190" s="45"/>
      <c r="P190" s="41"/>
      <c r="Q190" s="41"/>
      <c r="R190" s="41"/>
      <c r="S190" s="46"/>
      <c r="T190" s="46"/>
      <c r="U190" s="47"/>
      <c r="V190" s="47"/>
      <c r="W190" s="48"/>
      <c r="X190" s="49"/>
      <c r="Y190" s="49"/>
      <c r="Z190" s="47"/>
      <c r="AA190" s="47"/>
      <c r="AB190" s="47"/>
      <c r="AC190" s="34"/>
      <c r="AD190" s="34"/>
    </row>
    <row r="191" spans="1:30" ht="22.5" customHeight="1" x14ac:dyDescent="0.35">
      <c r="A191" s="41"/>
      <c r="B191" s="42"/>
      <c r="C191" s="42"/>
      <c r="D191" s="41"/>
      <c r="E191" s="41"/>
      <c r="F191" s="42"/>
      <c r="G191" s="43"/>
      <c r="H191" s="44"/>
      <c r="I191" s="41"/>
      <c r="J191" s="41"/>
      <c r="K191" s="41"/>
      <c r="L191" s="41"/>
      <c r="M191" s="41"/>
      <c r="N191" s="41"/>
      <c r="O191" s="45"/>
      <c r="P191" s="41"/>
      <c r="Q191" s="41"/>
      <c r="R191" s="41"/>
      <c r="S191" s="46"/>
      <c r="T191" s="46"/>
      <c r="U191" s="47"/>
      <c r="V191" s="47"/>
      <c r="W191" s="48"/>
      <c r="X191" s="49"/>
      <c r="Y191" s="49"/>
      <c r="Z191" s="47"/>
      <c r="AA191" s="47"/>
      <c r="AB191" s="47"/>
      <c r="AC191" s="34"/>
      <c r="AD191" s="34"/>
    </row>
    <row r="192" spans="1:30" ht="22.5" customHeight="1" x14ac:dyDescent="0.35">
      <c r="A192" s="41"/>
      <c r="B192" s="42"/>
      <c r="C192" s="42"/>
      <c r="D192" s="41"/>
      <c r="E192" s="41"/>
      <c r="F192" s="42"/>
      <c r="G192" s="43"/>
      <c r="H192" s="44"/>
      <c r="I192" s="41"/>
      <c r="J192" s="41"/>
      <c r="K192" s="41"/>
      <c r="L192" s="41"/>
      <c r="M192" s="41"/>
      <c r="N192" s="41"/>
      <c r="O192" s="45"/>
      <c r="P192" s="41"/>
      <c r="Q192" s="41"/>
      <c r="R192" s="41"/>
      <c r="S192" s="46"/>
      <c r="T192" s="46"/>
      <c r="U192" s="47"/>
      <c r="V192" s="47"/>
      <c r="W192" s="48"/>
      <c r="X192" s="49"/>
      <c r="Y192" s="49"/>
      <c r="Z192" s="47"/>
      <c r="AA192" s="47"/>
      <c r="AB192" s="47"/>
      <c r="AC192" s="34"/>
      <c r="AD192" s="34"/>
    </row>
    <row r="193" spans="1:30" ht="22.5" customHeight="1" x14ac:dyDescent="0.35">
      <c r="A193" s="41"/>
      <c r="B193" s="42"/>
      <c r="C193" s="42"/>
      <c r="D193" s="41"/>
      <c r="E193" s="41"/>
      <c r="F193" s="42"/>
      <c r="G193" s="43"/>
      <c r="H193" s="44"/>
      <c r="I193" s="41"/>
      <c r="J193" s="41"/>
      <c r="K193" s="41"/>
      <c r="L193" s="41"/>
      <c r="M193" s="41"/>
      <c r="N193" s="41"/>
      <c r="O193" s="45"/>
      <c r="P193" s="41"/>
      <c r="Q193" s="41"/>
      <c r="R193" s="41"/>
      <c r="S193" s="46"/>
      <c r="T193" s="46"/>
      <c r="U193" s="47"/>
      <c r="V193" s="47"/>
      <c r="W193" s="48"/>
      <c r="X193" s="49"/>
      <c r="Y193" s="49"/>
      <c r="Z193" s="47"/>
      <c r="AA193" s="47"/>
      <c r="AB193" s="47"/>
      <c r="AC193" s="34"/>
      <c r="AD193" s="34"/>
    </row>
    <row r="194" spans="1:30" ht="22.5" customHeight="1" x14ac:dyDescent="0.35">
      <c r="A194" s="41"/>
      <c r="B194" s="42"/>
      <c r="C194" s="42"/>
      <c r="D194" s="41"/>
      <c r="E194" s="41"/>
      <c r="F194" s="42"/>
      <c r="G194" s="43"/>
      <c r="H194" s="44"/>
      <c r="I194" s="41"/>
      <c r="J194" s="41"/>
      <c r="K194" s="41"/>
      <c r="L194" s="41"/>
      <c r="M194" s="41"/>
      <c r="N194" s="41"/>
      <c r="O194" s="45"/>
      <c r="P194" s="41"/>
      <c r="Q194" s="41"/>
      <c r="R194" s="41"/>
      <c r="S194" s="46"/>
      <c r="T194" s="46"/>
      <c r="U194" s="47"/>
      <c r="V194" s="47"/>
      <c r="W194" s="48"/>
      <c r="X194" s="49"/>
      <c r="Y194" s="49"/>
      <c r="Z194" s="47"/>
      <c r="AA194" s="47"/>
      <c r="AB194" s="47"/>
      <c r="AC194" s="34"/>
      <c r="AD194" s="34"/>
    </row>
    <row r="195" spans="1:30" ht="22.5" customHeight="1" x14ac:dyDescent="0.35">
      <c r="A195" s="41"/>
      <c r="B195" s="42"/>
      <c r="C195" s="42"/>
      <c r="D195" s="41"/>
      <c r="E195" s="41"/>
      <c r="F195" s="42"/>
      <c r="G195" s="43"/>
      <c r="H195" s="44"/>
      <c r="I195" s="41"/>
      <c r="J195" s="41"/>
      <c r="K195" s="41"/>
      <c r="L195" s="41"/>
      <c r="M195" s="41"/>
      <c r="N195" s="41"/>
      <c r="O195" s="45"/>
      <c r="P195" s="41"/>
      <c r="Q195" s="41"/>
      <c r="R195" s="41"/>
      <c r="S195" s="46"/>
      <c r="T195" s="46"/>
      <c r="U195" s="47"/>
      <c r="V195" s="47"/>
      <c r="W195" s="48"/>
      <c r="X195" s="49"/>
      <c r="Y195" s="49"/>
      <c r="Z195" s="47"/>
      <c r="AA195" s="47"/>
      <c r="AB195" s="47"/>
      <c r="AC195" s="34"/>
      <c r="AD195" s="34"/>
    </row>
    <row r="196" spans="1:30" ht="22.5" customHeight="1" x14ac:dyDescent="0.35">
      <c r="A196" s="41"/>
      <c r="B196" s="42"/>
      <c r="C196" s="42"/>
      <c r="D196" s="41"/>
      <c r="E196" s="41"/>
      <c r="F196" s="42"/>
      <c r="G196" s="43"/>
      <c r="H196" s="44"/>
      <c r="I196" s="41"/>
      <c r="J196" s="41"/>
      <c r="K196" s="41"/>
      <c r="L196" s="41"/>
      <c r="M196" s="41"/>
      <c r="N196" s="41"/>
      <c r="O196" s="45"/>
      <c r="P196" s="41"/>
      <c r="Q196" s="41"/>
      <c r="R196" s="41"/>
      <c r="S196" s="46"/>
      <c r="T196" s="46"/>
      <c r="U196" s="47"/>
      <c r="V196" s="47"/>
      <c r="W196" s="48"/>
      <c r="X196" s="49"/>
      <c r="Y196" s="49"/>
      <c r="Z196" s="47"/>
      <c r="AA196" s="47"/>
      <c r="AB196" s="47"/>
      <c r="AC196" s="34"/>
      <c r="AD196" s="34"/>
    </row>
    <row r="197" spans="1:30" ht="22.5" customHeight="1" x14ac:dyDescent="0.35">
      <c r="A197" s="41"/>
      <c r="B197" s="42"/>
      <c r="C197" s="42"/>
      <c r="D197" s="41"/>
      <c r="E197" s="41"/>
      <c r="F197" s="42"/>
      <c r="G197" s="43"/>
      <c r="H197" s="44"/>
      <c r="I197" s="41"/>
      <c r="J197" s="41"/>
      <c r="K197" s="41"/>
      <c r="L197" s="41"/>
      <c r="M197" s="41"/>
      <c r="N197" s="41"/>
      <c r="O197" s="45"/>
      <c r="P197" s="41"/>
      <c r="Q197" s="41"/>
      <c r="R197" s="41"/>
      <c r="S197" s="46"/>
      <c r="T197" s="46"/>
      <c r="U197" s="47"/>
      <c r="V197" s="47"/>
      <c r="W197" s="48"/>
      <c r="X197" s="49"/>
      <c r="Y197" s="49"/>
      <c r="Z197" s="47"/>
      <c r="AA197" s="47"/>
      <c r="AB197" s="47"/>
      <c r="AC197" s="34"/>
      <c r="AD197" s="34"/>
    </row>
    <row r="198" spans="1:30" ht="22.5" customHeight="1" x14ac:dyDescent="0.35">
      <c r="A198" s="41"/>
      <c r="B198" s="42"/>
      <c r="C198" s="42"/>
      <c r="D198" s="41"/>
      <c r="E198" s="41"/>
      <c r="F198" s="42"/>
      <c r="G198" s="43"/>
      <c r="H198" s="44"/>
      <c r="I198" s="41"/>
      <c r="J198" s="41"/>
      <c r="K198" s="41"/>
      <c r="L198" s="41"/>
      <c r="M198" s="41"/>
      <c r="N198" s="41"/>
      <c r="O198" s="45"/>
      <c r="P198" s="41"/>
      <c r="Q198" s="41"/>
      <c r="R198" s="41"/>
      <c r="S198" s="46"/>
      <c r="T198" s="46"/>
      <c r="U198" s="47"/>
      <c r="V198" s="47"/>
      <c r="W198" s="48"/>
      <c r="X198" s="49"/>
      <c r="Y198" s="49"/>
      <c r="Z198" s="47"/>
      <c r="AA198" s="47"/>
      <c r="AB198" s="47"/>
      <c r="AC198" s="34"/>
      <c r="AD198" s="34"/>
    </row>
    <row r="199" spans="1:30" ht="22.5" customHeight="1" x14ac:dyDescent="0.35">
      <c r="A199" s="41"/>
      <c r="B199" s="42"/>
      <c r="C199" s="42"/>
      <c r="D199" s="41"/>
      <c r="E199" s="41"/>
      <c r="F199" s="42"/>
      <c r="G199" s="43"/>
      <c r="H199" s="44"/>
      <c r="I199" s="41"/>
      <c r="J199" s="41"/>
      <c r="K199" s="41"/>
      <c r="L199" s="41"/>
      <c r="M199" s="41"/>
      <c r="N199" s="41"/>
      <c r="O199" s="45"/>
      <c r="P199" s="41"/>
      <c r="Q199" s="41"/>
      <c r="R199" s="41"/>
      <c r="S199" s="46"/>
      <c r="T199" s="46"/>
      <c r="U199" s="47"/>
      <c r="V199" s="47"/>
      <c r="W199" s="48"/>
      <c r="X199" s="49"/>
      <c r="Y199" s="49"/>
      <c r="Z199" s="47"/>
      <c r="AA199" s="47"/>
      <c r="AB199" s="47"/>
      <c r="AC199" s="34"/>
      <c r="AD199" s="34"/>
    </row>
    <row r="200" spans="1:30" ht="22.5" customHeight="1" x14ac:dyDescent="0.35">
      <c r="A200" s="41"/>
      <c r="B200" s="42"/>
      <c r="C200" s="42"/>
      <c r="D200" s="41"/>
      <c r="E200" s="41"/>
      <c r="F200" s="42"/>
      <c r="G200" s="43"/>
      <c r="H200" s="44"/>
      <c r="I200" s="41"/>
      <c r="J200" s="41"/>
      <c r="K200" s="41"/>
      <c r="L200" s="41"/>
      <c r="M200" s="41"/>
      <c r="N200" s="41"/>
      <c r="O200" s="45"/>
      <c r="P200" s="41"/>
      <c r="Q200" s="41"/>
      <c r="R200" s="41"/>
      <c r="S200" s="46"/>
      <c r="T200" s="46"/>
      <c r="U200" s="47"/>
      <c r="V200" s="47"/>
      <c r="W200" s="48"/>
      <c r="X200" s="49"/>
      <c r="Y200" s="49"/>
      <c r="Z200" s="47"/>
      <c r="AA200" s="47"/>
      <c r="AB200" s="47"/>
      <c r="AC200" s="34"/>
      <c r="AD200" s="34"/>
    </row>
    <row r="201" spans="1:30" ht="22.5" customHeight="1" x14ac:dyDescent="0.35">
      <c r="A201" s="41"/>
      <c r="B201" s="42"/>
      <c r="C201" s="42"/>
      <c r="D201" s="41"/>
      <c r="E201" s="41"/>
      <c r="F201" s="42"/>
      <c r="G201" s="43"/>
      <c r="H201" s="44"/>
      <c r="I201" s="41"/>
      <c r="J201" s="41"/>
      <c r="K201" s="41"/>
      <c r="L201" s="41"/>
      <c r="M201" s="41"/>
      <c r="N201" s="41"/>
      <c r="O201" s="45"/>
      <c r="P201" s="41"/>
      <c r="Q201" s="41"/>
      <c r="R201" s="41"/>
      <c r="S201" s="46"/>
      <c r="T201" s="46"/>
      <c r="U201" s="47"/>
      <c r="V201" s="47"/>
      <c r="W201" s="48"/>
      <c r="X201" s="49"/>
      <c r="Y201" s="49"/>
      <c r="Z201" s="47"/>
      <c r="AA201" s="47"/>
      <c r="AB201" s="47"/>
      <c r="AC201" s="34"/>
      <c r="AD201" s="34"/>
    </row>
    <row r="202" spans="1:30" ht="22.5" customHeight="1" x14ac:dyDescent="0.35">
      <c r="A202" s="41"/>
      <c r="B202" s="42"/>
      <c r="C202" s="42"/>
      <c r="D202" s="41"/>
      <c r="E202" s="41"/>
      <c r="F202" s="42"/>
      <c r="G202" s="43"/>
      <c r="H202" s="44"/>
      <c r="I202" s="41"/>
      <c r="J202" s="41"/>
      <c r="K202" s="41"/>
      <c r="L202" s="41"/>
      <c r="M202" s="41"/>
      <c r="N202" s="41"/>
      <c r="O202" s="45"/>
      <c r="P202" s="41"/>
      <c r="Q202" s="41"/>
      <c r="R202" s="41"/>
      <c r="S202" s="46"/>
      <c r="T202" s="46"/>
      <c r="U202" s="47"/>
      <c r="V202" s="47"/>
      <c r="W202" s="48"/>
      <c r="X202" s="49"/>
      <c r="Y202" s="49"/>
      <c r="Z202" s="47"/>
      <c r="AA202" s="47"/>
      <c r="AB202" s="47"/>
      <c r="AC202" s="34"/>
      <c r="AD202" s="34"/>
    </row>
    <row r="203" spans="1:30" ht="22.5" customHeight="1" x14ac:dyDescent="0.35">
      <c r="A203" s="41"/>
      <c r="B203" s="42"/>
      <c r="C203" s="42"/>
      <c r="D203" s="41"/>
      <c r="E203" s="41"/>
      <c r="F203" s="42"/>
      <c r="G203" s="43"/>
      <c r="H203" s="44"/>
      <c r="I203" s="41"/>
      <c r="J203" s="41"/>
      <c r="K203" s="41"/>
      <c r="L203" s="41"/>
      <c r="M203" s="41"/>
      <c r="N203" s="41"/>
      <c r="O203" s="45"/>
      <c r="P203" s="41"/>
      <c r="Q203" s="41"/>
      <c r="R203" s="41"/>
      <c r="S203" s="46"/>
      <c r="T203" s="46"/>
      <c r="U203" s="47"/>
      <c r="V203" s="47"/>
      <c r="W203" s="48"/>
      <c r="X203" s="49"/>
      <c r="Y203" s="49"/>
      <c r="Z203" s="47"/>
      <c r="AA203" s="47"/>
      <c r="AB203" s="47"/>
      <c r="AC203" s="34"/>
      <c r="AD203" s="34"/>
    </row>
    <row r="204" spans="1:30" ht="22.5" customHeight="1" x14ac:dyDescent="0.35">
      <c r="A204" s="41"/>
      <c r="B204" s="42"/>
      <c r="C204" s="42"/>
      <c r="D204" s="41"/>
      <c r="E204" s="41"/>
      <c r="F204" s="42"/>
      <c r="G204" s="43"/>
      <c r="H204" s="44"/>
      <c r="I204" s="41"/>
      <c r="J204" s="41"/>
      <c r="K204" s="41"/>
      <c r="L204" s="41"/>
      <c r="M204" s="41"/>
      <c r="N204" s="41"/>
      <c r="O204" s="45"/>
      <c r="P204" s="41"/>
      <c r="Q204" s="41"/>
      <c r="R204" s="41"/>
      <c r="S204" s="46"/>
      <c r="T204" s="46"/>
      <c r="U204" s="47"/>
      <c r="V204" s="47"/>
      <c r="W204" s="48"/>
      <c r="X204" s="49"/>
      <c r="Y204" s="49"/>
      <c r="Z204" s="47"/>
      <c r="AA204" s="47"/>
      <c r="AB204" s="47"/>
      <c r="AC204" s="34"/>
      <c r="AD204" s="34"/>
    </row>
    <row r="205" spans="1:30" ht="22.5" customHeight="1" x14ac:dyDescent="0.35">
      <c r="A205" s="41"/>
      <c r="B205" s="42"/>
      <c r="C205" s="42"/>
      <c r="D205" s="41"/>
      <c r="E205" s="41"/>
      <c r="F205" s="42"/>
      <c r="G205" s="43"/>
      <c r="H205" s="44"/>
      <c r="I205" s="41"/>
      <c r="J205" s="41"/>
      <c r="K205" s="41"/>
      <c r="L205" s="41"/>
      <c r="M205" s="41"/>
      <c r="N205" s="41"/>
      <c r="O205" s="45"/>
      <c r="P205" s="41"/>
      <c r="Q205" s="41"/>
      <c r="R205" s="41"/>
      <c r="S205" s="46"/>
      <c r="T205" s="46"/>
      <c r="U205" s="47"/>
      <c r="V205" s="47"/>
      <c r="W205" s="48"/>
      <c r="X205" s="49"/>
      <c r="Y205" s="49"/>
      <c r="Z205" s="47"/>
      <c r="AA205" s="47"/>
      <c r="AB205" s="47"/>
      <c r="AC205" s="34"/>
      <c r="AD205" s="34"/>
    </row>
    <row r="206" spans="1:30" ht="22.5" customHeight="1" x14ac:dyDescent="0.35">
      <c r="A206" s="41"/>
      <c r="B206" s="42"/>
      <c r="C206" s="42"/>
      <c r="D206" s="41"/>
      <c r="E206" s="41"/>
      <c r="F206" s="42"/>
      <c r="G206" s="43"/>
      <c r="H206" s="44"/>
      <c r="I206" s="41"/>
      <c r="J206" s="41"/>
      <c r="K206" s="41"/>
      <c r="L206" s="41"/>
      <c r="M206" s="41"/>
      <c r="N206" s="41"/>
      <c r="O206" s="45"/>
      <c r="P206" s="41"/>
      <c r="Q206" s="41"/>
      <c r="R206" s="41"/>
      <c r="S206" s="46"/>
      <c r="T206" s="46"/>
      <c r="U206" s="47"/>
      <c r="V206" s="47"/>
      <c r="W206" s="48"/>
      <c r="X206" s="49"/>
      <c r="Y206" s="49"/>
      <c r="Z206" s="47"/>
      <c r="AA206" s="47"/>
      <c r="AB206" s="47"/>
      <c r="AC206" s="34"/>
      <c r="AD206" s="34"/>
    </row>
    <row r="207" spans="1:30" ht="22.5" customHeight="1" x14ac:dyDescent="0.35">
      <c r="A207" s="41"/>
      <c r="B207" s="42"/>
      <c r="C207" s="42"/>
      <c r="D207" s="41"/>
      <c r="E207" s="41"/>
      <c r="F207" s="42"/>
      <c r="G207" s="43"/>
      <c r="H207" s="44"/>
      <c r="I207" s="41"/>
      <c r="J207" s="41"/>
      <c r="K207" s="41"/>
      <c r="L207" s="41"/>
      <c r="M207" s="41"/>
      <c r="N207" s="41"/>
      <c r="O207" s="45"/>
      <c r="P207" s="41"/>
      <c r="Q207" s="41"/>
      <c r="R207" s="41"/>
      <c r="S207" s="46"/>
      <c r="T207" s="46"/>
      <c r="U207" s="47"/>
      <c r="V207" s="47"/>
      <c r="W207" s="48"/>
      <c r="X207" s="49"/>
      <c r="Y207" s="49"/>
      <c r="Z207" s="47"/>
      <c r="AA207" s="47"/>
      <c r="AB207" s="47"/>
      <c r="AC207" s="34"/>
      <c r="AD207" s="34"/>
    </row>
    <row r="208" spans="1:30" ht="22.5" customHeight="1" x14ac:dyDescent="0.35">
      <c r="A208" s="41"/>
      <c r="B208" s="42"/>
      <c r="C208" s="42"/>
      <c r="D208" s="41"/>
      <c r="E208" s="41"/>
      <c r="F208" s="42"/>
      <c r="G208" s="43"/>
      <c r="H208" s="44"/>
      <c r="I208" s="41"/>
      <c r="J208" s="41"/>
      <c r="K208" s="41"/>
      <c r="L208" s="41"/>
      <c r="M208" s="41"/>
      <c r="N208" s="41"/>
      <c r="O208" s="45"/>
      <c r="P208" s="41"/>
      <c r="Q208" s="41"/>
      <c r="R208" s="41"/>
      <c r="S208" s="46"/>
      <c r="T208" s="46"/>
      <c r="U208" s="47"/>
      <c r="V208" s="47"/>
      <c r="W208" s="48"/>
      <c r="X208" s="49"/>
      <c r="Y208" s="49"/>
      <c r="Z208" s="47"/>
      <c r="AA208" s="47"/>
      <c r="AB208" s="47"/>
      <c r="AC208" s="34"/>
      <c r="AD208" s="34"/>
    </row>
    <row r="209" spans="1:30" ht="22.5" customHeight="1" x14ac:dyDescent="0.35">
      <c r="A209" s="41"/>
      <c r="B209" s="42"/>
      <c r="C209" s="42"/>
      <c r="D209" s="41"/>
      <c r="E209" s="41"/>
      <c r="F209" s="42"/>
      <c r="G209" s="43"/>
      <c r="H209" s="44"/>
      <c r="I209" s="41"/>
      <c r="J209" s="41"/>
      <c r="K209" s="41"/>
      <c r="L209" s="41"/>
      <c r="M209" s="41"/>
      <c r="N209" s="41"/>
      <c r="O209" s="45"/>
      <c r="P209" s="41"/>
      <c r="Q209" s="41"/>
      <c r="R209" s="41"/>
      <c r="S209" s="46"/>
      <c r="T209" s="46"/>
      <c r="U209" s="47"/>
      <c r="V209" s="47"/>
      <c r="W209" s="48"/>
      <c r="X209" s="49"/>
      <c r="Y209" s="49"/>
      <c r="Z209" s="47"/>
      <c r="AA209" s="47"/>
      <c r="AB209" s="47"/>
      <c r="AC209" s="34"/>
      <c r="AD209" s="34"/>
    </row>
    <row r="210" spans="1:30" ht="22.5" customHeight="1" x14ac:dyDescent="0.35">
      <c r="A210" s="41"/>
      <c r="B210" s="42"/>
      <c r="C210" s="42"/>
      <c r="D210" s="41"/>
      <c r="E210" s="41"/>
      <c r="F210" s="42"/>
      <c r="G210" s="43"/>
      <c r="H210" s="44"/>
      <c r="I210" s="41"/>
      <c r="J210" s="41"/>
      <c r="K210" s="41"/>
      <c r="L210" s="41"/>
      <c r="M210" s="41"/>
      <c r="N210" s="41"/>
      <c r="O210" s="45"/>
      <c r="P210" s="41"/>
      <c r="Q210" s="41"/>
      <c r="R210" s="41"/>
      <c r="S210" s="46"/>
      <c r="T210" s="46"/>
      <c r="U210" s="47"/>
      <c r="V210" s="47"/>
      <c r="W210" s="48"/>
      <c r="X210" s="49"/>
      <c r="Y210" s="49"/>
      <c r="Z210" s="47"/>
      <c r="AA210" s="47"/>
      <c r="AB210" s="47"/>
      <c r="AC210" s="34"/>
      <c r="AD210" s="34"/>
    </row>
    <row r="211" spans="1:30" ht="22.5" customHeight="1" x14ac:dyDescent="0.35">
      <c r="A211" s="41"/>
      <c r="B211" s="42"/>
      <c r="C211" s="42"/>
      <c r="D211" s="41"/>
      <c r="E211" s="41"/>
      <c r="F211" s="42"/>
      <c r="G211" s="43"/>
      <c r="H211" s="44"/>
      <c r="I211" s="41"/>
      <c r="J211" s="41"/>
      <c r="K211" s="41"/>
      <c r="L211" s="41"/>
      <c r="M211" s="41"/>
      <c r="N211" s="41"/>
      <c r="O211" s="45"/>
      <c r="P211" s="41"/>
      <c r="Q211" s="41"/>
      <c r="R211" s="41"/>
      <c r="S211" s="46"/>
      <c r="T211" s="46"/>
      <c r="U211" s="47"/>
      <c r="V211" s="47"/>
      <c r="W211" s="48"/>
      <c r="X211" s="49"/>
      <c r="Y211" s="49"/>
      <c r="Z211" s="47"/>
      <c r="AA211" s="47"/>
      <c r="AB211" s="47"/>
      <c r="AC211" s="34"/>
      <c r="AD211" s="34"/>
    </row>
    <row r="212" spans="1:30" ht="22.5" customHeight="1" x14ac:dyDescent="0.35">
      <c r="A212" s="41"/>
      <c r="B212" s="42"/>
      <c r="C212" s="42"/>
      <c r="D212" s="41"/>
      <c r="E212" s="41"/>
      <c r="F212" s="42"/>
      <c r="G212" s="43"/>
      <c r="H212" s="44"/>
      <c r="I212" s="41"/>
      <c r="J212" s="41"/>
      <c r="K212" s="41"/>
      <c r="L212" s="41"/>
      <c r="M212" s="41"/>
      <c r="N212" s="41"/>
      <c r="O212" s="45"/>
      <c r="P212" s="41"/>
      <c r="Q212" s="41"/>
      <c r="R212" s="41"/>
      <c r="S212" s="46"/>
      <c r="T212" s="46"/>
      <c r="U212" s="47"/>
      <c r="V212" s="47"/>
      <c r="W212" s="48"/>
      <c r="X212" s="49"/>
      <c r="Y212" s="49"/>
      <c r="Z212" s="47"/>
      <c r="AA212" s="47"/>
      <c r="AB212" s="47"/>
      <c r="AC212" s="34"/>
      <c r="AD212" s="34"/>
    </row>
    <row r="213" spans="1:30" ht="22.5" customHeight="1" x14ac:dyDescent="0.35">
      <c r="A213" s="41"/>
      <c r="B213" s="42"/>
      <c r="C213" s="42"/>
      <c r="D213" s="41"/>
      <c r="E213" s="41"/>
      <c r="F213" s="42"/>
      <c r="G213" s="43"/>
      <c r="H213" s="44"/>
      <c r="I213" s="41"/>
      <c r="J213" s="41"/>
      <c r="K213" s="41"/>
      <c r="L213" s="41"/>
      <c r="M213" s="41"/>
      <c r="N213" s="41"/>
      <c r="O213" s="45"/>
      <c r="P213" s="41"/>
      <c r="Q213" s="41"/>
      <c r="R213" s="41"/>
      <c r="S213" s="46"/>
      <c r="T213" s="46"/>
      <c r="U213" s="47"/>
      <c r="V213" s="47"/>
      <c r="W213" s="48"/>
      <c r="X213" s="49"/>
      <c r="Y213" s="49"/>
      <c r="Z213" s="47"/>
      <c r="AA213" s="47"/>
      <c r="AB213" s="47"/>
      <c r="AC213" s="34"/>
      <c r="AD213" s="34"/>
    </row>
    <row r="214" spans="1:30" ht="22.5" customHeight="1" x14ac:dyDescent="0.35">
      <c r="A214" s="41"/>
      <c r="B214" s="42"/>
      <c r="C214" s="42"/>
      <c r="D214" s="41"/>
      <c r="E214" s="41"/>
      <c r="F214" s="42"/>
      <c r="G214" s="43"/>
      <c r="H214" s="44"/>
      <c r="I214" s="41"/>
      <c r="J214" s="41"/>
      <c r="K214" s="41"/>
      <c r="L214" s="41"/>
      <c r="M214" s="41"/>
      <c r="N214" s="41"/>
      <c r="O214" s="45"/>
      <c r="P214" s="41"/>
      <c r="Q214" s="41"/>
      <c r="R214" s="41"/>
      <c r="S214" s="46"/>
      <c r="T214" s="46"/>
      <c r="U214" s="47"/>
      <c r="V214" s="47"/>
      <c r="W214" s="48"/>
      <c r="X214" s="49"/>
      <c r="Y214" s="49"/>
      <c r="Z214" s="47"/>
      <c r="AA214" s="47"/>
      <c r="AB214" s="47"/>
      <c r="AC214" s="34"/>
      <c r="AD214" s="34"/>
    </row>
    <row r="215" spans="1:30" ht="22.5" customHeight="1" x14ac:dyDescent="0.35">
      <c r="A215" s="41"/>
      <c r="B215" s="42"/>
      <c r="C215" s="42"/>
      <c r="D215" s="41"/>
      <c r="E215" s="41"/>
      <c r="F215" s="42"/>
      <c r="G215" s="43"/>
      <c r="H215" s="44"/>
      <c r="I215" s="41"/>
      <c r="J215" s="41"/>
      <c r="K215" s="41"/>
      <c r="L215" s="41"/>
      <c r="M215" s="41"/>
      <c r="N215" s="41"/>
      <c r="O215" s="45"/>
      <c r="P215" s="41"/>
      <c r="Q215" s="41"/>
      <c r="R215" s="41"/>
      <c r="S215" s="46"/>
      <c r="T215" s="46"/>
      <c r="U215" s="47"/>
      <c r="V215" s="47"/>
      <c r="W215" s="48"/>
      <c r="X215" s="49"/>
      <c r="Y215" s="49"/>
      <c r="Z215" s="47"/>
      <c r="AA215" s="47"/>
      <c r="AB215" s="47"/>
      <c r="AC215" s="34"/>
      <c r="AD215" s="34"/>
    </row>
    <row r="216" spans="1:30" ht="22.5" customHeight="1" x14ac:dyDescent="0.35">
      <c r="A216" s="41"/>
      <c r="B216" s="42"/>
      <c r="C216" s="42"/>
      <c r="D216" s="41"/>
      <c r="E216" s="41"/>
      <c r="F216" s="42"/>
      <c r="G216" s="43"/>
      <c r="H216" s="44"/>
      <c r="I216" s="41"/>
      <c r="J216" s="41"/>
      <c r="K216" s="41"/>
      <c r="L216" s="41"/>
      <c r="M216" s="41"/>
      <c r="N216" s="41"/>
      <c r="O216" s="45"/>
      <c r="P216" s="41"/>
      <c r="Q216" s="41"/>
      <c r="R216" s="41"/>
      <c r="S216" s="46"/>
      <c r="T216" s="46"/>
      <c r="U216" s="47"/>
      <c r="V216" s="47"/>
      <c r="W216" s="48"/>
      <c r="X216" s="49"/>
      <c r="Y216" s="49"/>
      <c r="Z216" s="47"/>
      <c r="AA216" s="47"/>
      <c r="AB216" s="47"/>
      <c r="AC216" s="34"/>
      <c r="AD216" s="34"/>
    </row>
    <row r="217" spans="1:30" ht="22.5" customHeight="1" x14ac:dyDescent="0.35">
      <c r="A217" s="41"/>
      <c r="B217" s="42"/>
      <c r="C217" s="42"/>
      <c r="D217" s="41"/>
      <c r="E217" s="41"/>
      <c r="F217" s="42"/>
      <c r="G217" s="43"/>
      <c r="H217" s="44"/>
      <c r="I217" s="41"/>
      <c r="J217" s="41"/>
      <c r="K217" s="41"/>
      <c r="L217" s="41"/>
      <c r="M217" s="41"/>
      <c r="N217" s="41"/>
      <c r="O217" s="45"/>
      <c r="P217" s="41"/>
      <c r="Q217" s="41"/>
      <c r="R217" s="41"/>
      <c r="S217" s="46"/>
      <c r="T217" s="46"/>
      <c r="U217" s="47"/>
      <c r="V217" s="47"/>
      <c r="W217" s="48"/>
      <c r="X217" s="49"/>
      <c r="Y217" s="49"/>
      <c r="Z217" s="47"/>
      <c r="AA217" s="47"/>
      <c r="AB217" s="47"/>
      <c r="AC217" s="34"/>
      <c r="AD217" s="34"/>
    </row>
    <row r="218" spans="1:30" ht="22.5" customHeight="1" x14ac:dyDescent="0.35">
      <c r="A218" s="41"/>
      <c r="B218" s="42"/>
      <c r="C218" s="42"/>
      <c r="D218" s="41"/>
      <c r="E218" s="41"/>
      <c r="F218" s="42"/>
      <c r="G218" s="43"/>
      <c r="H218" s="44"/>
      <c r="I218" s="41"/>
      <c r="J218" s="41"/>
      <c r="K218" s="41"/>
      <c r="L218" s="41"/>
      <c r="M218" s="41"/>
      <c r="N218" s="41"/>
      <c r="O218" s="45"/>
      <c r="P218" s="41"/>
      <c r="Q218" s="41"/>
      <c r="R218" s="41"/>
      <c r="S218" s="46"/>
      <c r="T218" s="46"/>
      <c r="U218" s="47"/>
      <c r="V218" s="47"/>
      <c r="W218" s="48"/>
      <c r="X218" s="49"/>
      <c r="Y218" s="49"/>
      <c r="Z218" s="47"/>
      <c r="AA218" s="47"/>
      <c r="AB218" s="47"/>
      <c r="AC218" s="34"/>
      <c r="AD218" s="34"/>
    </row>
    <row r="219" spans="1:30" ht="22.5" customHeight="1" x14ac:dyDescent="0.35">
      <c r="A219" s="41"/>
      <c r="B219" s="42"/>
      <c r="C219" s="42"/>
      <c r="D219" s="41"/>
      <c r="E219" s="41"/>
      <c r="F219" s="42"/>
      <c r="G219" s="43"/>
      <c r="H219" s="44"/>
      <c r="I219" s="41"/>
      <c r="J219" s="41"/>
      <c r="K219" s="41"/>
      <c r="L219" s="41"/>
      <c r="M219" s="41"/>
      <c r="N219" s="41"/>
      <c r="O219" s="45"/>
      <c r="P219" s="41"/>
      <c r="Q219" s="41"/>
      <c r="R219" s="41"/>
      <c r="S219" s="46"/>
      <c r="T219" s="46"/>
      <c r="U219" s="47"/>
      <c r="V219" s="47"/>
      <c r="W219" s="48"/>
      <c r="X219" s="49"/>
      <c r="Y219" s="49"/>
      <c r="Z219" s="47"/>
      <c r="AA219" s="47"/>
      <c r="AB219" s="47"/>
      <c r="AC219" s="34"/>
      <c r="AD219" s="34"/>
    </row>
    <row r="220" spans="1:30" ht="22.5" customHeight="1" x14ac:dyDescent="0.35">
      <c r="A220" s="41"/>
      <c r="B220" s="42"/>
      <c r="C220" s="42"/>
      <c r="D220" s="41"/>
      <c r="E220" s="41"/>
      <c r="F220" s="42"/>
      <c r="G220" s="43"/>
      <c r="H220" s="44"/>
      <c r="I220" s="41"/>
      <c r="J220" s="41"/>
      <c r="K220" s="41"/>
      <c r="L220" s="41"/>
      <c r="M220" s="41"/>
      <c r="N220" s="41"/>
      <c r="O220" s="45"/>
      <c r="P220" s="41"/>
      <c r="Q220" s="41"/>
      <c r="R220" s="41"/>
      <c r="S220" s="46"/>
      <c r="T220" s="46"/>
      <c r="U220" s="47"/>
      <c r="V220" s="47"/>
      <c r="W220" s="48"/>
      <c r="X220" s="49"/>
      <c r="Y220" s="49"/>
      <c r="Z220" s="47"/>
      <c r="AA220" s="47"/>
      <c r="AB220" s="47"/>
      <c r="AC220" s="34"/>
      <c r="AD220" s="34"/>
    </row>
    <row r="221" spans="1:30" ht="22.5" customHeight="1" x14ac:dyDescent="0.35">
      <c r="A221" s="41"/>
      <c r="B221" s="42"/>
      <c r="C221" s="42"/>
      <c r="D221" s="41"/>
      <c r="E221" s="41"/>
      <c r="F221" s="42"/>
      <c r="G221" s="43"/>
      <c r="H221" s="44"/>
      <c r="I221" s="41"/>
      <c r="J221" s="41"/>
      <c r="K221" s="41"/>
      <c r="L221" s="41"/>
      <c r="M221" s="41"/>
      <c r="N221" s="41"/>
      <c r="O221" s="45"/>
      <c r="P221" s="41"/>
      <c r="Q221" s="41"/>
      <c r="R221" s="41"/>
      <c r="S221" s="46"/>
      <c r="T221" s="46"/>
      <c r="U221" s="47"/>
      <c r="V221" s="47"/>
      <c r="W221" s="48"/>
      <c r="X221" s="49"/>
      <c r="Y221" s="49"/>
      <c r="Z221" s="47"/>
      <c r="AA221" s="47"/>
      <c r="AB221" s="47"/>
      <c r="AC221" s="34"/>
      <c r="AD221" s="34"/>
    </row>
    <row r="222" spans="1:30" ht="22.5" customHeight="1" x14ac:dyDescent="0.35">
      <c r="A222" s="41"/>
      <c r="B222" s="42"/>
      <c r="C222" s="42"/>
      <c r="D222" s="41"/>
      <c r="E222" s="41"/>
      <c r="F222" s="42"/>
      <c r="G222" s="43"/>
      <c r="H222" s="44"/>
      <c r="I222" s="41"/>
      <c r="J222" s="41"/>
      <c r="K222" s="41"/>
      <c r="L222" s="41"/>
      <c r="M222" s="41"/>
      <c r="N222" s="41"/>
      <c r="O222" s="45"/>
      <c r="P222" s="41"/>
      <c r="Q222" s="41"/>
      <c r="R222" s="41"/>
      <c r="S222" s="46"/>
      <c r="T222" s="46"/>
      <c r="U222" s="47"/>
      <c r="V222" s="47"/>
      <c r="W222" s="48"/>
      <c r="X222" s="49"/>
      <c r="Y222" s="49"/>
      <c r="Z222" s="47"/>
      <c r="AA222" s="47"/>
      <c r="AB222" s="47"/>
      <c r="AC222" s="34"/>
      <c r="AD222" s="34"/>
    </row>
    <row r="223" spans="1:30" ht="22.5" customHeight="1" x14ac:dyDescent="0.35">
      <c r="A223" s="41"/>
      <c r="B223" s="42"/>
      <c r="C223" s="42"/>
      <c r="D223" s="41"/>
      <c r="E223" s="41"/>
      <c r="F223" s="42"/>
      <c r="G223" s="43"/>
      <c r="H223" s="44"/>
      <c r="I223" s="41"/>
      <c r="J223" s="41"/>
      <c r="K223" s="41"/>
      <c r="L223" s="41"/>
      <c r="M223" s="41"/>
      <c r="N223" s="41"/>
      <c r="O223" s="45"/>
      <c r="P223" s="41"/>
      <c r="Q223" s="41"/>
      <c r="R223" s="41"/>
      <c r="S223" s="46"/>
      <c r="T223" s="46"/>
      <c r="U223" s="47"/>
      <c r="V223" s="47"/>
      <c r="W223" s="48"/>
      <c r="X223" s="49"/>
      <c r="Y223" s="49"/>
      <c r="Z223" s="47"/>
      <c r="AA223" s="47"/>
      <c r="AB223" s="47"/>
      <c r="AC223" s="34"/>
      <c r="AD223" s="34"/>
    </row>
    <row r="224" spans="1:30" ht="22.5" customHeight="1" x14ac:dyDescent="0.35">
      <c r="A224" s="41"/>
      <c r="B224" s="42"/>
      <c r="C224" s="42"/>
      <c r="D224" s="41"/>
      <c r="E224" s="41"/>
      <c r="F224" s="42"/>
      <c r="G224" s="43"/>
      <c r="H224" s="44"/>
      <c r="I224" s="41"/>
      <c r="J224" s="41"/>
      <c r="K224" s="41"/>
      <c r="L224" s="41"/>
      <c r="M224" s="41"/>
      <c r="N224" s="41"/>
      <c r="O224" s="45"/>
      <c r="P224" s="41"/>
      <c r="Q224" s="41"/>
      <c r="R224" s="41"/>
      <c r="S224" s="46"/>
      <c r="T224" s="46"/>
      <c r="U224" s="47"/>
      <c r="V224" s="47"/>
      <c r="W224" s="48"/>
      <c r="X224" s="49"/>
      <c r="Y224" s="49"/>
      <c r="Z224" s="47"/>
      <c r="AA224" s="47"/>
      <c r="AB224" s="47"/>
      <c r="AC224" s="34"/>
      <c r="AD224" s="34"/>
    </row>
    <row r="225" spans="1:30" ht="22.5" customHeight="1" x14ac:dyDescent="0.35">
      <c r="A225" s="41"/>
      <c r="B225" s="42"/>
      <c r="C225" s="42"/>
      <c r="D225" s="41"/>
      <c r="E225" s="41"/>
      <c r="F225" s="42"/>
      <c r="G225" s="43"/>
      <c r="H225" s="44"/>
      <c r="I225" s="41"/>
      <c r="J225" s="41"/>
      <c r="K225" s="41"/>
      <c r="L225" s="41"/>
      <c r="M225" s="41"/>
      <c r="N225" s="41"/>
      <c r="O225" s="45"/>
      <c r="P225" s="41"/>
      <c r="Q225" s="41"/>
      <c r="R225" s="41"/>
      <c r="S225" s="46"/>
      <c r="T225" s="46"/>
      <c r="U225" s="47"/>
      <c r="V225" s="47"/>
      <c r="W225" s="48"/>
      <c r="X225" s="49"/>
      <c r="Y225" s="49"/>
      <c r="Z225" s="47"/>
      <c r="AA225" s="47"/>
      <c r="AB225" s="47"/>
      <c r="AC225" s="34"/>
      <c r="AD225" s="34"/>
    </row>
    <row r="226" spans="1:30" ht="22.5" customHeight="1" x14ac:dyDescent="0.35">
      <c r="A226" s="41"/>
      <c r="B226" s="42"/>
      <c r="C226" s="42"/>
      <c r="D226" s="41"/>
      <c r="E226" s="41"/>
      <c r="F226" s="42"/>
      <c r="G226" s="43"/>
      <c r="H226" s="44"/>
      <c r="I226" s="41"/>
      <c r="J226" s="41"/>
      <c r="K226" s="41"/>
      <c r="L226" s="41"/>
      <c r="M226" s="41"/>
      <c r="N226" s="41"/>
      <c r="O226" s="45"/>
      <c r="P226" s="41"/>
      <c r="Q226" s="41"/>
      <c r="R226" s="41"/>
      <c r="S226" s="46"/>
      <c r="T226" s="46"/>
      <c r="U226" s="47"/>
      <c r="V226" s="47"/>
      <c r="W226" s="48"/>
      <c r="X226" s="49"/>
      <c r="Y226" s="49"/>
      <c r="Z226" s="47"/>
      <c r="AA226" s="47"/>
      <c r="AB226" s="47"/>
      <c r="AC226" s="34"/>
      <c r="AD226" s="34"/>
    </row>
    <row r="227" spans="1:30" ht="22.5" customHeight="1" x14ac:dyDescent="0.35">
      <c r="A227" s="41"/>
      <c r="B227" s="42"/>
      <c r="C227" s="42"/>
      <c r="D227" s="41"/>
      <c r="E227" s="41"/>
      <c r="F227" s="42"/>
      <c r="G227" s="43"/>
      <c r="H227" s="44"/>
      <c r="I227" s="41"/>
      <c r="J227" s="41"/>
      <c r="K227" s="41"/>
      <c r="L227" s="41"/>
      <c r="M227" s="41"/>
      <c r="N227" s="41"/>
      <c r="O227" s="45"/>
      <c r="P227" s="41"/>
      <c r="Q227" s="41"/>
      <c r="R227" s="41"/>
      <c r="S227" s="46"/>
      <c r="T227" s="46"/>
      <c r="U227" s="47"/>
      <c r="V227" s="47"/>
      <c r="W227" s="48"/>
      <c r="X227" s="49"/>
      <c r="Y227" s="49"/>
      <c r="Z227" s="47"/>
      <c r="AA227" s="47"/>
      <c r="AB227" s="47"/>
      <c r="AC227" s="34"/>
      <c r="AD227" s="34"/>
    </row>
    <row r="228" spans="1:30" ht="22.5" customHeight="1" x14ac:dyDescent="0.35">
      <c r="A228" s="41"/>
      <c r="B228" s="42"/>
      <c r="C228" s="42"/>
      <c r="D228" s="41"/>
      <c r="E228" s="41"/>
      <c r="F228" s="42"/>
      <c r="G228" s="43"/>
      <c r="H228" s="44"/>
      <c r="I228" s="41"/>
      <c r="J228" s="41"/>
      <c r="K228" s="41"/>
      <c r="L228" s="41"/>
      <c r="M228" s="41"/>
      <c r="N228" s="41"/>
      <c r="O228" s="45"/>
      <c r="P228" s="41"/>
      <c r="Q228" s="41"/>
      <c r="R228" s="41"/>
      <c r="S228" s="46"/>
      <c r="T228" s="46"/>
      <c r="U228" s="47"/>
      <c r="V228" s="47"/>
      <c r="W228" s="48"/>
      <c r="X228" s="49"/>
      <c r="Y228" s="49"/>
      <c r="Z228" s="47"/>
      <c r="AA228" s="47"/>
      <c r="AB228" s="47"/>
      <c r="AC228" s="34"/>
      <c r="AD228" s="34"/>
    </row>
    <row r="229" spans="1:30" ht="22.5" customHeight="1" x14ac:dyDescent="0.35">
      <c r="A229" s="41"/>
      <c r="B229" s="42"/>
      <c r="C229" s="42"/>
      <c r="D229" s="41"/>
      <c r="E229" s="41"/>
      <c r="F229" s="42"/>
      <c r="G229" s="43"/>
      <c r="H229" s="44"/>
      <c r="I229" s="41"/>
      <c r="J229" s="41"/>
      <c r="K229" s="41"/>
      <c r="L229" s="41"/>
      <c r="M229" s="41"/>
      <c r="N229" s="41"/>
      <c r="O229" s="45"/>
      <c r="P229" s="41"/>
      <c r="Q229" s="41"/>
      <c r="R229" s="41"/>
      <c r="S229" s="46"/>
      <c r="T229" s="46"/>
      <c r="U229" s="47"/>
      <c r="V229" s="47"/>
      <c r="W229" s="48"/>
      <c r="X229" s="49"/>
      <c r="Y229" s="49"/>
      <c r="Z229" s="47"/>
      <c r="AA229" s="47"/>
      <c r="AB229" s="47"/>
      <c r="AC229" s="34"/>
      <c r="AD229" s="34"/>
    </row>
    <row r="230" spans="1:30" ht="22.5" customHeight="1" x14ac:dyDescent="0.35">
      <c r="A230" s="41"/>
      <c r="B230" s="42"/>
      <c r="C230" s="42"/>
      <c r="D230" s="41"/>
      <c r="E230" s="41"/>
      <c r="F230" s="42"/>
      <c r="G230" s="43"/>
      <c r="H230" s="44"/>
      <c r="I230" s="41"/>
      <c r="J230" s="41"/>
      <c r="K230" s="41"/>
      <c r="L230" s="41"/>
      <c r="M230" s="41"/>
      <c r="N230" s="41"/>
      <c r="O230" s="45"/>
      <c r="P230" s="41"/>
      <c r="Q230" s="41"/>
      <c r="R230" s="41"/>
      <c r="S230" s="46"/>
      <c r="T230" s="46"/>
      <c r="U230" s="47"/>
      <c r="V230" s="47"/>
      <c r="W230" s="48"/>
      <c r="X230" s="49"/>
      <c r="Y230" s="49"/>
      <c r="Z230" s="47"/>
      <c r="AA230" s="47"/>
      <c r="AB230" s="47"/>
      <c r="AC230" s="34"/>
      <c r="AD230" s="34"/>
    </row>
    <row r="231" spans="1:30" ht="22.5" customHeight="1" x14ac:dyDescent="0.35">
      <c r="A231" s="41"/>
      <c r="B231" s="42"/>
      <c r="C231" s="42"/>
      <c r="D231" s="41"/>
      <c r="E231" s="41"/>
      <c r="F231" s="42"/>
      <c r="G231" s="43"/>
      <c r="H231" s="44"/>
      <c r="I231" s="41"/>
      <c r="J231" s="41"/>
      <c r="K231" s="41"/>
      <c r="L231" s="41"/>
      <c r="M231" s="41"/>
      <c r="N231" s="41"/>
      <c r="O231" s="45"/>
      <c r="P231" s="41"/>
      <c r="Q231" s="41"/>
      <c r="R231" s="41"/>
      <c r="S231" s="46"/>
      <c r="T231" s="46"/>
      <c r="U231" s="47"/>
      <c r="V231" s="47"/>
      <c r="W231" s="48"/>
      <c r="X231" s="49"/>
      <c r="Y231" s="49"/>
      <c r="Z231" s="47"/>
      <c r="AA231" s="47"/>
      <c r="AB231" s="47"/>
      <c r="AC231" s="34"/>
      <c r="AD231" s="34"/>
    </row>
    <row r="232" spans="1:30" ht="22.5" customHeight="1" x14ac:dyDescent="0.35">
      <c r="A232" s="41"/>
      <c r="B232" s="42"/>
      <c r="C232" s="42"/>
      <c r="D232" s="41"/>
      <c r="E232" s="41"/>
      <c r="F232" s="42"/>
      <c r="G232" s="43"/>
      <c r="H232" s="44"/>
      <c r="I232" s="41"/>
      <c r="J232" s="41"/>
      <c r="K232" s="41"/>
      <c r="L232" s="41"/>
      <c r="M232" s="41"/>
      <c r="N232" s="41"/>
      <c r="O232" s="45"/>
      <c r="P232" s="41"/>
      <c r="Q232" s="41"/>
      <c r="R232" s="41"/>
      <c r="S232" s="46"/>
      <c r="T232" s="46"/>
      <c r="U232" s="47"/>
      <c r="V232" s="47"/>
      <c r="W232" s="48"/>
      <c r="X232" s="49"/>
      <c r="Y232" s="49"/>
      <c r="Z232" s="47"/>
      <c r="AA232" s="47"/>
      <c r="AB232" s="47"/>
      <c r="AC232" s="34"/>
      <c r="AD232" s="34"/>
    </row>
    <row r="233" spans="1:30" ht="22.5" customHeight="1" x14ac:dyDescent="0.35">
      <c r="A233" s="41"/>
      <c r="B233" s="42"/>
      <c r="C233" s="42"/>
      <c r="D233" s="41"/>
      <c r="E233" s="41"/>
      <c r="F233" s="42"/>
      <c r="G233" s="43"/>
      <c r="H233" s="44"/>
      <c r="I233" s="41"/>
      <c r="J233" s="41"/>
      <c r="K233" s="41"/>
      <c r="L233" s="41"/>
      <c r="M233" s="41"/>
      <c r="N233" s="41"/>
      <c r="O233" s="45"/>
      <c r="P233" s="41"/>
      <c r="Q233" s="41"/>
      <c r="R233" s="41"/>
      <c r="S233" s="46"/>
      <c r="T233" s="46"/>
      <c r="U233" s="47"/>
      <c r="V233" s="47"/>
      <c r="W233" s="48"/>
      <c r="X233" s="49"/>
      <c r="Y233" s="49"/>
      <c r="Z233" s="47"/>
      <c r="AA233" s="47"/>
      <c r="AB233" s="47"/>
      <c r="AC233" s="34"/>
      <c r="AD233" s="34"/>
    </row>
    <row r="234" spans="1:30" ht="22.5" customHeight="1" x14ac:dyDescent="0.35">
      <c r="A234" s="41"/>
      <c r="B234" s="42"/>
      <c r="C234" s="42"/>
      <c r="D234" s="41"/>
      <c r="E234" s="41"/>
      <c r="F234" s="42"/>
      <c r="G234" s="43"/>
      <c r="H234" s="44"/>
      <c r="I234" s="41"/>
      <c r="J234" s="41"/>
      <c r="K234" s="41"/>
      <c r="L234" s="41"/>
      <c r="M234" s="41"/>
      <c r="N234" s="41"/>
      <c r="O234" s="45"/>
      <c r="P234" s="41"/>
      <c r="Q234" s="41"/>
      <c r="R234" s="41"/>
      <c r="S234" s="46"/>
      <c r="T234" s="46"/>
      <c r="U234" s="47"/>
      <c r="V234" s="47"/>
      <c r="W234" s="48"/>
      <c r="X234" s="49"/>
      <c r="Y234" s="49"/>
      <c r="Z234" s="47"/>
      <c r="AA234" s="47"/>
      <c r="AB234" s="47"/>
      <c r="AC234" s="34"/>
      <c r="AD234" s="34"/>
    </row>
    <row r="235" spans="1:30" ht="22.5" customHeight="1" x14ac:dyDescent="0.35">
      <c r="A235" s="41"/>
      <c r="B235" s="42"/>
      <c r="C235" s="42"/>
      <c r="D235" s="41"/>
      <c r="E235" s="41"/>
      <c r="F235" s="42"/>
      <c r="G235" s="43"/>
      <c r="H235" s="44"/>
      <c r="I235" s="41"/>
      <c r="J235" s="41"/>
      <c r="K235" s="41"/>
      <c r="L235" s="41"/>
      <c r="M235" s="41"/>
      <c r="N235" s="41"/>
      <c r="O235" s="45"/>
      <c r="P235" s="41"/>
      <c r="Q235" s="41"/>
      <c r="R235" s="41"/>
      <c r="S235" s="46"/>
      <c r="T235" s="46"/>
      <c r="U235" s="47"/>
      <c r="V235" s="47"/>
      <c r="W235" s="48"/>
      <c r="X235" s="49"/>
      <c r="Y235" s="49"/>
      <c r="Z235" s="47"/>
      <c r="AA235" s="47"/>
      <c r="AB235" s="47"/>
      <c r="AC235" s="34"/>
      <c r="AD235" s="34"/>
    </row>
    <row r="236" spans="1:30" ht="22.5" customHeight="1" x14ac:dyDescent="0.35">
      <c r="A236" s="41"/>
      <c r="B236" s="42"/>
      <c r="C236" s="42"/>
      <c r="D236" s="41"/>
      <c r="E236" s="41"/>
      <c r="F236" s="42"/>
      <c r="G236" s="43"/>
      <c r="H236" s="44"/>
      <c r="I236" s="41"/>
      <c r="J236" s="41"/>
      <c r="K236" s="41"/>
      <c r="L236" s="41"/>
      <c r="M236" s="41"/>
      <c r="N236" s="41"/>
      <c r="O236" s="45"/>
      <c r="P236" s="41"/>
      <c r="Q236" s="41"/>
      <c r="R236" s="41"/>
      <c r="S236" s="46"/>
      <c r="T236" s="46"/>
      <c r="U236" s="47"/>
      <c r="V236" s="47"/>
      <c r="W236" s="48"/>
      <c r="X236" s="49"/>
      <c r="Y236" s="49"/>
      <c r="Z236" s="47"/>
      <c r="AA236" s="47"/>
      <c r="AB236" s="47"/>
      <c r="AC236" s="34"/>
      <c r="AD236" s="34"/>
    </row>
    <row r="237" spans="1:30" ht="22.5" customHeight="1" x14ac:dyDescent="0.35">
      <c r="A237" s="41"/>
      <c r="B237" s="42"/>
      <c r="C237" s="42"/>
      <c r="D237" s="41"/>
      <c r="E237" s="41"/>
      <c r="F237" s="42"/>
      <c r="G237" s="43"/>
      <c r="H237" s="44"/>
      <c r="I237" s="41"/>
      <c r="J237" s="41"/>
      <c r="K237" s="41"/>
      <c r="L237" s="41"/>
      <c r="M237" s="41"/>
      <c r="N237" s="41"/>
      <c r="O237" s="45"/>
      <c r="P237" s="41"/>
      <c r="Q237" s="41"/>
      <c r="R237" s="41"/>
      <c r="S237" s="46"/>
      <c r="T237" s="46"/>
      <c r="U237" s="47"/>
      <c r="V237" s="47"/>
      <c r="W237" s="48"/>
      <c r="X237" s="49"/>
      <c r="Y237" s="49"/>
      <c r="Z237" s="47"/>
      <c r="AA237" s="47"/>
      <c r="AB237" s="47"/>
      <c r="AC237" s="34"/>
      <c r="AD237" s="34"/>
    </row>
    <row r="238" spans="1:30" ht="22.5" customHeight="1" x14ac:dyDescent="0.35">
      <c r="A238" s="41"/>
      <c r="B238" s="42"/>
      <c r="C238" s="42"/>
      <c r="D238" s="41"/>
      <c r="E238" s="41"/>
      <c r="F238" s="42"/>
      <c r="G238" s="43"/>
      <c r="H238" s="44"/>
      <c r="I238" s="41"/>
      <c r="J238" s="41"/>
      <c r="K238" s="41"/>
      <c r="L238" s="41"/>
      <c r="M238" s="41"/>
      <c r="N238" s="41"/>
      <c r="O238" s="45"/>
      <c r="P238" s="41"/>
      <c r="Q238" s="41"/>
      <c r="R238" s="41"/>
      <c r="S238" s="46"/>
      <c r="T238" s="46"/>
      <c r="U238" s="47"/>
      <c r="V238" s="47"/>
      <c r="W238" s="48"/>
      <c r="X238" s="49"/>
      <c r="Y238" s="49"/>
      <c r="Z238" s="47"/>
      <c r="AA238" s="47"/>
      <c r="AB238" s="47"/>
      <c r="AC238" s="34"/>
      <c r="AD238" s="34"/>
    </row>
    <row r="239" spans="1:30" ht="22.5" customHeight="1" x14ac:dyDescent="0.35">
      <c r="A239" s="41"/>
      <c r="B239" s="42"/>
      <c r="C239" s="42"/>
      <c r="D239" s="41"/>
      <c r="E239" s="41"/>
      <c r="F239" s="42"/>
      <c r="G239" s="43"/>
      <c r="H239" s="44"/>
      <c r="I239" s="41"/>
      <c r="J239" s="41"/>
      <c r="K239" s="41"/>
      <c r="L239" s="41"/>
      <c r="M239" s="41"/>
      <c r="N239" s="41"/>
      <c r="O239" s="45"/>
      <c r="P239" s="41"/>
      <c r="Q239" s="41"/>
      <c r="R239" s="41"/>
      <c r="S239" s="46"/>
      <c r="T239" s="46"/>
      <c r="U239" s="47"/>
      <c r="V239" s="47"/>
      <c r="W239" s="48"/>
      <c r="X239" s="49"/>
      <c r="Y239" s="49"/>
      <c r="Z239" s="47"/>
      <c r="AA239" s="47"/>
      <c r="AB239" s="47"/>
      <c r="AC239" s="34"/>
      <c r="AD239" s="34"/>
    </row>
    <row r="240" spans="1:30" ht="22.5" customHeight="1" x14ac:dyDescent="0.35">
      <c r="A240" s="41"/>
      <c r="B240" s="42"/>
      <c r="C240" s="42"/>
      <c r="D240" s="41"/>
      <c r="E240" s="41"/>
      <c r="F240" s="42"/>
      <c r="G240" s="43"/>
      <c r="H240" s="44"/>
      <c r="I240" s="41"/>
      <c r="J240" s="41"/>
      <c r="K240" s="41"/>
      <c r="L240" s="41"/>
      <c r="M240" s="41"/>
      <c r="N240" s="41"/>
      <c r="O240" s="45"/>
      <c r="P240" s="41"/>
      <c r="Q240" s="41"/>
      <c r="R240" s="41"/>
      <c r="S240" s="46"/>
      <c r="T240" s="46"/>
      <c r="U240" s="47"/>
      <c r="V240" s="47"/>
      <c r="W240" s="48"/>
      <c r="X240" s="49"/>
      <c r="Y240" s="49"/>
      <c r="Z240" s="47"/>
      <c r="AA240" s="47"/>
      <c r="AB240" s="47"/>
      <c r="AC240" s="34"/>
      <c r="AD240" s="34"/>
    </row>
    <row r="241" spans="1:30" ht="22.5" customHeight="1" x14ac:dyDescent="0.35">
      <c r="A241" s="41"/>
      <c r="B241" s="42"/>
      <c r="C241" s="42"/>
      <c r="D241" s="41"/>
      <c r="E241" s="41"/>
      <c r="F241" s="42"/>
      <c r="G241" s="43"/>
      <c r="H241" s="44"/>
      <c r="I241" s="41"/>
      <c r="J241" s="41"/>
      <c r="K241" s="41"/>
      <c r="L241" s="41"/>
      <c r="M241" s="41"/>
      <c r="N241" s="41"/>
      <c r="O241" s="45"/>
      <c r="P241" s="41"/>
      <c r="Q241" s="41"/>
      <c r="R241" s="41"/>
      <c r="S241" s="46"/>
      <c r="T241" s="46"/>
      <c r="U241" s="47"/>
      <c r="V241" s="47"/>
      <c r="W241" s="48"/>
      <c r="X241" s="49"/>
      <c r="Y241" s="49"/>
      <c r="Z241" s="47"/>
      <c r="AA241" s="47"/>
      <c r="AB241" s="47"/>
      <c r="AC241" s="34"/>
      <c r="AD241" s="34"/>
    </row>
    <row r="242" spans="1:30" ht="22.5" customHeight="1" x14ac:dyDescent="0.35">
      <c r="A242" s="41"/>
      <c r="B242" s="42"/>
      <c r="C242" s="42"/>
      <c r="D242" s="41"/>
      <c r="E242" s="41"/>
      <c r="F242" s="42"/>
      <c r="G242" s="43"/>
      <c r="H242" s="44"/>
      <c r="I242" s="41"/>
      <c r="J242" s="41"/>
      <c r="K242" s="41"/>
      <c r="L242" s="41"/>
      <c r="M242" s="41"/>
      <c r="N242" s="41"/>
      <c r="O242" s="45"/>
      <c r="P242" s="41"/>
      <c r="Q242" s="41"/>
      <c r="R242" s="41"/>
      <c r="S242" s="46"/>
      <c r="T242" s="46"/>
      <c r="U242" s="47"/>
      <c r="V242" s="47"/>
      <c r="W242" s="48"/>
      <c r="X242" s="49"/>
      <c r="Y242" s="49"/>
      <c r="Z242" s="47"/>
      <c r="AA242" s="47"/>
      <c r="AB242" s="47"/>
      <c r="AC242" s="34"/>
      <c r="AD242" s="34"/>
    </row>
    <row r="243" spans="1:30" ht="22.5" customHeight="1" x14ac:dyDescent="0.35">
      <c r="A243" s="41"/>
      <c r="B243" s="42"/>
      <c r="C243" s="42"/>
      <c r="D243" s="41"/>
      <c r="E243" s="41"/>
      <c r="F243" s="42"/>
      <c r="G243" s="43"/>
      <c r="H243" s="44"/>
      <c r="I243" s="41"/>
      <c r="J243" s="41"/>
      <c r="K243" s="41"/>
      <c r="L243" s="41"/>
      <c r="M243" s="41"/>
      <c r="N243" s="41"/>
      <c r="O243" s="45"/>
      <c r="P243" s="41"/>
      <c r="Q243" s="41"/>
      <c r="R243" s="41"/>
      <c r="S243" s="46"/>
      <c r="T243" s="46"/>
      <c r="U243" s="47"/>
      <c r="V243" s="47"/>
      <c r="W243" s="48"/>
      <c r="X243" s="49"/>
      <c r="Y243" s="49"/>
      <c r="Z243" s="47"/>
      <c r="AA243" s="47"/>
      <c r="AB243" s="47"/>
      <c r="AC243" s="34"/>
      <c r="AD243" s="34"/>
    </row>
    <row r="244" spans="1:30" ht="15.75" customHeight="1" x14ac:dyDescent="0.35"/>
    <row r="245" spans="1:30" ht="15.75" customHeight="1" x14ac:dyDescent="0.35"/>
    <row r="246" spans="1:30" ht="15.75" customHeight="1" x14ac:dyDescent="0.35"/>
    <row r="247" spans="1:30" ht="15.75" customHeight="1" x14ac:dyDescent="0.35"/>
    <row r="248" spans="1:30" ht="15.75" customHeight="1" x14ac:dyDescent="0.35"/>
    <row r="249" spans="1:30" ht="15.75" customHeight="1" x14ac:dyDescent="0.35"/>
    <row r="250" spans="1:30" ht="15.75" customHeight="1" x14ac:dyDescent="0.35"/>
    <row r="251" spans="1:30" ht="15.75" customHeight="1" x14ac:dyDescent="0.35"/>
    <row r="252" spans="1:30" ht="15.75" customHeight="1" x14ac:dyDescent="0.35"/>
    <row r="253" spans="1:30" ht="15.75" customHeight="1" x14ac:dyDescent="0.35"/>
    <row r="254" spans="1:30" ht="15.75" customHeight="1" x14ac:dyDescent="0.35"/>
    <row r="255" spans="1:30" ht="15.75" customHeight="1" x14ac:dyDescent="0.35"/>
    <row r="256" spans="1:30"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autoFilter ref="A3:AB43" xr:uid="{00000000-0009-0000-0000-000000000000}"/>
  <customSheetViews>
    <customSheetView guid="{D6288B94-ADAB-45D6-891B-07CA7DFD6D18}" filter="1" showAutoFilter="1">
      <pageMargins left="0.7" right="0.7" top="0.75" bottom="0.75" header="0.3" footer="0.3"/>
      <autoFilter ref="A2:AD44" xr:uid="{EB83DBF1-1951-4EFA-8BF6-FBDDB7B1FB69}"/>
    </customSheetView>
    <customSheetView guid="{77D097FC-158D-4673-ABF3-52B9469886B2}" filter="1" showAutoFilter="1">
      <pageMargins left="0.7" right="0.7" top="0.75" bottom="0.75" header="0.3" footer="0.3"/>
      <autoFilter ref="A2:AD44" xr:uid="{ADCDC562-55C8-486B-93A5-1EB9356F8C5B}"/>
    </customSheetView>
  </customSheetViews>
  <mergeCells count="8">
    <mergeCell ref="A1:H1"/>
    <mergeCell ref="J1:T1"/>
    <mergeCell ref="U1:Y1"/>
    <mergeCell ref="Z1:AB1"/>
    <mergeCell ref="I2:K2"/>
    <mergeCell ref="L2:P2"/>
    <mergeCell ref="Q2:T2"/>
    <mergeCell ref="Z2:AB2"/>
  </mergeCells>
  <conditionalFormatting sqref="I4:J20">
    <cfRule type="cellIs" dxfId="30" priority="11" operator="lessThanOrEqual">
      <formula>1</formula>
    </cfRule>
    <cfRule type="cellIs" dxfId="29" priority="12" operator="lessThanOrEqual">
      <formula>2</formula>
    </cfRule>
    <cfRule type="cellIs" dxfId="28" priority="13" operator="lessThanOrEqual">
      <formula>3</formula>
    </cfRule>
    <cfRule type="cellIs" dxfId="27" priority="14" operator="lessThanOrEqual">
      <formula>4</formula>
    </cfRule>
    <cfRule type="cellIs" dxfId="26" priority="15" operator="lessThanOrEqual">
      <formula>5</formula>
    </cfRule>
  </conditionalFormatting>
  <conditionalFormatting sqref="I4:J43">
    <cfRule type="cellIs" dxfId="25" priority="16" operator="lessThanOrEqual">
      <formula>-5</formula>
    </cfRule>
    <cfRule type="cellIs" dxfId="24" priority="17" operator="lessThanOrEqual">
      <formula>-4</formula>
    </cfRule>
    <cfRule type="cellIs" dxfId="23" priority="18" operator="lessThanOrEqual">
      <formula>-3</formula>
    </cfRule>
    <cfRule type="cellIs" dxfId="22" priority="19" operator="lessThanOrEqual">
      <formula>-2</formula>
    </cfRule>
    <cfRule type="cellIs" dxfId="21" priority="20" operator="lessThanOrEqual">
      <formula>-1</formula>
    </cfRule>
  </conditionalFormatting>
  <conditionalFormatting sqref="I5:J43">
    <cfRule type="cellIs" dxfId="20" priority="21" operator="lessThanOrEqual">
      <formula>1</formula>
    </cfRule>
    <cfRule type="cellIs" dxfId="19" priority="22" operator="lessThanOrEqual">
      <formula>2</formula>
    </cfRule>
    <cfRule type="cellIs" dxfId="18" priority="23" operator="lessThanOrEqual">
      <formula>3</formula>
    </cfRule>
    <cfRule type="cellIs" dxfId="17" priority="24" operator="lessThanOrEqual">
      <formula>4</formula>
    </cfRule>
    <cfRule type="cellIs" dxfId="16" priority="25" operator="lessThanOrEqual">
      <formula>5</formula>
    </cfRule>
  </conditionalFormatting>
  <conditionalFormatting sqref="K4:K43">
    <cfRule type="cellIs" dxfId="15" priority="1" operator="lessThanOrEqual">
      <formula>-20</formula>
    </cfRule>
    <cfRule type="cellIs" dxfId="14" priority="2" operator="lessThanOrEqual">
      <formula>-12</formula>
    </cfRule>
    <cfRule type="cellIs" dxfId="13" priority="3" operator="lessThanOrEqual">
      <formula>-6</formula>
    </cfRule>
    <cfRule type="cellIs" dxfId="12" priority="4" operator="lessThanOrEqual">
      <formula>-3</formula>
    </cfRule>
    <cfRule type="cellIs" dxfId="11" priority="5" operator="lessThanOrEqual">
      <formula>-1</formula>
    </cfRule>
    <cfRule type="cellIs" dxfId="10" priority="6" operator="lessThanOrEqual">
      <formula>2</formula>
    </cfRule>
    <cfRule type="cellIs" dxfId="9" priority="7" operator="lessThanOrEqual">
      <formula>5</formula>
    </cfRule>
    <cfRule type="cellIs" dxfId="8" priority="8" operator="lessThanOrEqual">
      <formula>10</formula>
    </cfRule>
    <cfRule type="cellIs" dxfId="7" priority="9" operator="lessThan">
      <formula>20</formula>
    </cfRule>
    <cfRule type="cellIs" dxfId="6" priority="10" operator="greaterThanOrEqual">
      <formula>20</formula>
    </cfRule>
  </conditionalFormatting>
  <dataValidations count="2">
    <dataValidation type="decimal" allowBlank="1" showInputMessage="1" showErrorMessage="1" prompt="Impact - Threat = 1 to 5 (+ value)_x000a_Opportunity = -1 to -5 (- value)" sqref="I4:J5 I6:J43" xr:uid="{00000000-0002-0000-0000-000001000000}">
      <formula1>-5</formula1>
      <formula2>5</formula2>
    </dataValidation>
    <dataValidation type="list" allowBlank="1" showErrorMessage="1" sqref="C4:C5 C6:C43" xr:uid="{00000000-0002-0000-0000-000002000000}">
      <formula1>Proj_Phases</formula1>
    </dataValidation>
  </dataValidations>
  <pageMargins left="0.25" right="0.25" top="0.75" bottom="0.75" header="0" footer="0"/>
  <pageSetup paperSize="3" fitToHeight="0"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000-000000000000}">
          <x14:formula1>
            <xm:f>Lists!$G$18:$G$19</xm:f>
          </x14:formula1>
          <xm:sqref>V4:V5 V6:V43</xm:sqref>
        </x14:dataValidation>
        <x14:dataValidation type="list" allowBlank="1" showErrorMessage="1" xr:uid="{00000000-0002-0000-0000-000003000000}">
          <x14:formula1>
            <xm:f>Lists!$B$18:$B$20</xm:f>
          </x14:formula1>
          <xm:sqref>D4:D5 D6:D43</xm:sqref>
        </x14:dataValidation>
        <x14:dataValidation type="list" allowBlank="1" showErrorMessage="1" xr:uid="{00000000-0002-0000-0000-000004000000}">
          <x14:formula1>
            <xm:f>Lists!$F$18:$F$21</xm:f>
          </x14:formula1>
          <xm:sqref>Z21:Z43</xm:sqref>
        </x14:dataValidation>
        <x14:dataValidation type="list" allowBlank="1" showErrorMessage="1" xr:uid="{00000000-0002-0000-0000-000005000000}">
          <x14:formula1>
            <xm:f>Lists!$E$18:$E$19</xm:f>
          </x14:formula1>
          <xm:sqref>E4:E5 E6:E43</xm:sqref>
        </x14:dataValidation>
        <x14:dataValidation type="list" allowBlank="1" showErrorMessage="1" xr:uid="{00000000-0002-0000-0000-000006000000}">
          <x14:formula1>
            <xm:f>Lists!$B$29:$O$29</xm:f>
          </x14:formula1>
          <xm:sqref>B4:B5 B6:B43</xm:sqref>
        </x14:dataValidation>
        <x14:dataValidation type="list" allowBlank="1" showErrorMessage="1" xr:uid="{00000000-0002-0000-0000-000007000000}">
          <x14:formula1>
            <xm:f>Lists!$C$18:$C$26</xm:f>
          </x14:formula1>
          <xm:sqref>U21:U43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53125" defaultRowHeight="15" customHeight="1" x14ac:dyDescent="0.35"/>
  <cols>
    <col min="1" max="1" width="32" customWidth="1"/>
    <col min="2" max="2" width="81.453125" customWidth="1"/>
    <col min="3" max="3" width="3.54296875" customWidth="1"/>
    <col min="4" max="4" width="58.54296875" customWidth="1"/>
    <col min="5" max="24" width="9.08984375" customWidth="1"/>
  </cols>
  <sheetData>
    <row r="1" spans="1:26" ht="16.5" customHeight="1" x14ac:dyDescent="0.35">
      <c r="A1" s="212" t="s">
        <v>162</v>
      </c>
      <c r="B1" s="213"/>
      <c r="C1" s="50"/>
      <c r="D1" s="51"/>
      <c r="E1" s="52"/>
      <c r="F1" s="52"/>
      <c r="G1" s="52"/>
      <c r="H1" s="52"/>
      <c r="I1" s="52"/>
      <c r="J1" s="52"/>
      <c r="K1" s="52"/>
      <c r="L1" s="52"/>
      <c r="M1" s="52"/>
      <c r="N1" s="52"/>
      <c r="O1" s="52"/>
      <c r="P1" s="52"/>
      <c r="Q1" s="52"/>
      <c r="R1" s="52"/>
      <c r="S1" s="52"/>
      <c r="T1" s="52"/>
      <c r="U1" s="52"/>
      <c r="V1" s="52"/>
      <c r="W1" s="52"/>
      <c r="X1" s="52"/>
      <c r="Y1" s="52"/>
      <c r="Z1" s="52"/>
    </row>
    <row r="2" spans="1:26" ht="16.5" customHeight="1" x14ac:dyDescent="0.35">
      <c r="A2" s="214" t="s">
        <v>163</v>
      </c>
      <c r="B2" s="215"/>
      <c r="C2" s="53"/>
      <c r="D2" s="51"/>
      <c r="E2" s="52"/>
      <c r="F2" s="52"/>
      <c r="G2" s="52"/>
      <c r="H2" s="52"/>
      <c r="I2" s="52"/>
      <c r="J2" s="52"/>
      <c r="K2" s="52"/>
      <c r="L2" s="52"/>
      <c r="M2" s="52"/>
      <c r="N2" s="52"/>
      <c r="O2" s="52"/>
      <c r="P2" s="52"/>
      <c r="Q2" s="52"/>
      <c r="R2" s="52"/>
      <c r="S2" s="52"/>
      <c r="T2" s="52"/>
      <c r="U2" s="52"/>
      <c r="V2" s="52"/>
      <c r="W2" s="52"/>
      <c r="X2" s="52"/>
      <c r="Y2" s="52"/>
      <c r="Z2" s="52"/>
    </row>
    <row r="3" spans="1:26" ht="55.5" customHeight="1" x14ac:dyDescent="0.35">
      <c r="A3" s="216" t="s">
        <v>164</v>
      </c>
      <c r="B3" s="213"/>
      <c r="C3" s="53"/>
      <c r="D3" s="51"/>
      <c r="E3" s="52"/>
      <c r="F3" s="52"/>
      <c r="G3" s="52"/>
      <c r="H3" s="52"/>
      <c r="I3" s="52"/>
      <c r="J3" s="52"/>
      <c r="K3" s="52"/>
      <c r="L3" s="52"/>
      <c r="M3" s="52"/>
      <c r="N3" s="52"/>
      <c r="O3" s="52"/>
      <c r="P3" s="52"/>
      <c r="Q3" s="52"/>
      <c r="R3" s="52"/>
      <c r="S3" s="52"/>
      <c r="T3" s="52"/>
      <c r="U3" s="52"/>
      <c r="V3" s="52"/>
      <c r="W3" s="52"/>
      <c r="X3" s="52"/>
      <c r="Y3" s="52"/>
      <c r="Z3" s="52"/>
    </row>
    <row r="4" spans="1:26" ht="16.5" customHeight="1" x14ac:dyDescent="0.35">
      <c r="A4" s="54"/>
      <c r="B4" s="55"/>
      <c r="C4" s="50"/>
      <c r="D4" s="51"/>
      <c r="E4" s="52"/>
      <c r="F4" s="52"/>
      <c r="G4" s="52"/>
      <c r="H4" s="52"/>
      <c r="I4" s="52"/>
      <c r="J4" s="52"/>
      <c r="K4" s="52"/>
      <c r="L4" s="52"/>
      <c r="M4" s="52"/>
      <c r="N4" s="52"/>
      <c r="O4" s="52"/>
      <c r="P4" s="52"/>
      <c r="Q4" s="52"/>
      <c r="R4" s="52"/>
      <c r="S4" s="52"/>
      <c r="T4" s="52"/>
      <c r="U4" s="52"/>
      <c r="V4" s="52"/>
      <c r="W4" s="52"/>
      <c r="X4" s="52"/>
      <c r="Y4" s="52"/>
      <c r="Z4" s="52"/>
    </row>
    <row r="5" spans="1:26" ht="16.5" customHeight="1" x14ac:dyDescent="0.35">
      <c r="A5" s="56"/>
      <c r="B5" s="57" t="s">
        <v>165</v>
      </c>
      <c r="C5" s="58"/>
      <c r="D5" s="57" t="s">
        <v>166</v>
      </c>
      <c r="E5" s="52"/>
      <c r="F5" s="52"/>
      <c r="G5" s="52"/>
      <c r="H5" s="52"/>
      <c r="I5" s="52"/>
      <c r="J5" s="52"/>
      <c r="K5" s="52"/>
      <c r="L5" s="52"/>
      <c r="M5" s="52"/>
      <c r="N5" s="52"/>
      <c r="O5" s="52"/>
      <c r="P5" s="52"/>
      <c r="Q5" s="52"/>
      <c r="R5" s="52"/>
      <c r="S5" s="52"/>
      <c r="T5" s="52"/>
      <c r="U5" s="52"/>
      <c r="V5" s="52"/>
      <c r="W5" s="52"/>
      <c r="X5" s="52"/>
      <c r="Y5" s="52"/>
      <c r="Z5" s="52"/>
    </row>
    <row r="6" spans="1:26" ht="16.5" customHeight="1" x14ac:dyDescent="0.35">
      <c r="A6" s="59" t="s">
        <v>167</v>
      </c>
      <c r="B6" s="60" t="s">
        <v>168</v>
      </c>
      <c r="C6" s="50"/>
      <c r="D6" s="61" t="s">
        <v>169</v>
      </c>
      <c r="E6" s="52"/>
      <c r="F6" s="52"/>
      <c r="G6" s="52"/>
      <c r="H6" s="52"/>
      <c r="I6" s="52"/>
      <c r="J6" s="52"/>
      <c r="K6" s="52"/>
      <c r="L6" s="52"/>
      <c r="M6" s="52"/>
      <c r="N6" s="52"/>
      <c r="O6" s="52"/>
      <c r="P6" s="52"/>
      <c r="Q6" s="52"/>
      <c r="R6" s="52"/>
      <c r="S6" s="52"/>
      <c r="T6" s="52"/>
      <c r="U6" s="52"/>
      <c r="V6" s="52"/>
      <c r="W6" s="52"/>
      <c r="X6" s="52"/>
      <c r="Y6" s="52"/>
      <c r="Z6" s="52"/>
    </row>
    <row r="7" spans="1:26" ht="16.5" hidden="1" customHeight="1" x14ac:dyDescent="0.35">
      <c r="A7" s="59" t="s">
        <v>170</v>
      </c>
      <c r="B7" s="60" t="s">
        <v>171</v>
      </c>
      <c r="C7" s="50"/>
      <c r="D7" s="61"/>
      <c r="E7" s="52"/>
      <c r="F7" s="52"/>
      <c r="G7" s="52"/>
      <c r="H7" s="52"/>
      <c r="I7" s="52"/>
      <c r="J7" s="52"/>
      <c r="K7" s="52"/>
      <c r="L7" s="52"/>
      <c r="M7" s="52"/>
      <c r="N7" s="52"/>
      <c r="O7" s="52"/>
      <c r="P7" s="52"/>
      <c r="Q7" s="52"/>
      <c r="R7" s="52"/>
      <c r="S7" s="52"/>
      <c r="T7" s="52"/>
      <c r="U7" s="52"/>
      <c r="V7" s="52"/>
      <c r="W7" s="52"/>
      <c r="X7" s="52"/>
      <c r="Y7" s="52"/>
      <c r="Z7" s="52"/>
    </row>
    <row r="8" spans="1:26" ht="16.5" hidden="1" customHeight="1" x14ac:dyDescent="0.35">
      <c r="A8" s="59" t="s">
        <v>172</v>
      </c>
      <c r="B8" s="60" t="s">
        <v>173</v>
      </c>
      <c r="C8" s="50"/>
      <c r="D8" s="61"/>
      <c r="E8" s="52"/>
      <c r="F8" s="52"/>
      <c r="G8" s="52"/>
      <c r="H8" s="52"/>
      <c r="I8" s="52"/>
      <c r="J8" s="52"/>
      <c r="K8" s="52"/>
      <c r="L8" s="52"/>
      <c r="M8" s="52"/>
      <c r="N8" s="52"/>
      <c r="O8" s="52"/>
      <c r="P8" s="52"/>
      <c r="Q8" s="52"/>
      <c r="R8" s="52"/>
      <c r="S8" s="52"/>
      <c r="T8" s="52"/>
      <c r="U8" s="52"/>
      <c r="V8" s="52"/>
      <c r="W8" s="52"/>
      <c r="X8" s="52"/>
      <c r="Y8" s="52"/>
      <c r="Z8" s="52"/>
    </row>
    <row r="9" spans="1:26" ht="16.5" customHeight="1" x14ac:dyDescent="0.35">
      <c r="A9" s="59" t="s">
        <v>174</v>
      </c>
      <c r="B9" s="60" t="s">
        <v>175</v>
      </c>
      <c r="C9" s="50"/>
      <c r="D9" s="61" t="s">
        <v>176</v>
      </c>
      <c r="E9" s="52"/>
      <c r="F9" s="52"/>
      <c r="G9" s="52"/>
      <c r="H9" s="52"/>
      <c r="I9" s="52"/>
      <c r="J9" s="52"/>
      <c r="K9" s="52"/>
      <c r="L9" s="52"/>
      <c r="M9" s="52"/>
      <c r="N9" s="52"/>
      <c r="O9" s="52"/>
      <c r="P9" s="52"/>
      <c r="Q9" s="52"/>
      <c r="R9" s="52"/>
      <c r="S9" s="52"/>
      <c r="T9" s="52"/>
      <c r="U9" s="52"/>
      <c r="V9" s="52"/>
      <c r="W9" s="52"/>
      <c r="X9" s="52"/>
      <c r="Y9" s="52"/>
      <c r="Z9" s="52"/>
    </row>
    <row r="10" spans="1:26" ht="16.5" customHeight="1" x14ac:dyDescent="0.35">
      <c r="A10" s="59" t="s">
        <v>177</v>
      </c>
      <c r="B10" s="60" t="s">
        <v>178</v>
      </c>
      <c r="C10" s="50"/>
      <c r="D10" s="61" t="s">
        <v>179</v>
      </c>
      <c r="E10" s="52"/>
      <c r="F10" s="52"/>
      <c r="G10" s="52"/>
      <c r="H10" s="52"/>
      <c r="I10" s="52"/>
      <c r="J10" s="52"/>
      <c r="K10" s="52"/>
      <c r="L10" s="52"/>
      <c r="M10" s="52"/>
      <c r="N10" s="52"/>
      <c r="O10" s="52"/>
      <c r="P10" s="52"/>
      <c r="Q10" s="52"/>
      <c r="R10" s="52"/>
      <c r="S10" s="52"/>
      <c r="T10" s="52"/>
      <c r="U10" s="52"/>
      <c r="V10" s="52"/>
      <c r="W10" s="52"/>
      <c r="X10" s="52"/>
      <c r="Y10" s="52"/>
      <c r="Z10" s="52"/>
    </row>
    <row r="11" spans="1:26" ht="16.5" hidden="1" customHeight="1" x14ac:dyDescent="0.35">
      <c r="A11" s="59" t="s">
        <v>180</v>
      </c>
      <c r="B11" s="60" t="s">
        <v>181</v>
      </c>
      <c r="C11" s="50"/>
      <c r="D11" s="61" t="s">
        <v>182</v>
      </c>
      <c r="E11" s="52"/>
      <c r="F11" s="52"/>
      <c r="G11" s="52"/>
      <c r="H11" s="52"/>
      <c r="I11" s="52"/>
      <c r="J11" s="52"/>
      <c r="K11" s="52"/>
      <c r="L11" s="52"/>
      <c r="M11" s="52"/>
      <c r="N11" s="52"/>
      <c r="O11" s="52"/>
      <c r="P11" s="52"/>
      <c r="Q11" s="52"/>
      <c r="R11" s="52"/>
      <c r="S11" s="52"/>
      <c r="T11" s="52"/>
      <c r="U11" s="52"/>
      <c r="V11" s="52"/>
      <c r="W11" s="52"/>
      <c r="X11" s="52"/>
      <c r="Y11" s="52"/>
      <c r="Z11" s="52"/>
    </row>
    <row r="12" spans="1:26" ht="16.5" customHeight="1" x14ac:dyDescent="0.35">
      <c r="A12" s="59" t="s">
        <v>183</v>
      </c>
      <c r="B12" s="60"/>
      <c r="C12" s="50"/>
      <c r="D12" s="61"/>
      <c r="E12" s="52"/>
      <c r="F12" s="52"/>
      <c r="G12" s="52"/>
      <c r="H12" s="52"/>
      <c r="I12" s="52"/>
      <c r="J12" s="52"/>
      <c r="K12" s="52"/>
      <c r="L12" s="52"/>
      <c r="M12" s="52"/>
      <c r="N12" s="52"/>
      <c r="O12" s="52"/>
      <c r="P12" s="52"/>
      <c r="Q12" s="52"/>
      <c r="R12" s="52"/>
      <c r="S12" s="52"/>
      <c r="T12" s="52"/>
      <c r="U12" s="52"/>
      <c r="V12" s="52"/>
      <c r="W12" s="52"/>
      <c r="X12" s="52"/>
      <c r="Y12" s="52"/>
      <c r="Z12" s="52"/>
    </row>
    <row r="13" spans="1:26" ht="16.5" customHeight="1" x14ac:dyDescent="0.35">
      <c r="A13" s="62" t="s">
        <v>143</v>
      </c>
      <c r="B13" s="63" t="s">
        <v>184</v>
      </c>
      <c r="C13" s="50"/>
      <c r="D13" s="61"/>
      <c r="E13" s="52"/>
      <c r="F13" s="52"/>
      <c r="G13" s="52"/>
      <c r="H13" s="52"/>
      <c r="I13" s="52"/>
      <c r="J13" s="52"/>
      <c r="K13" s="52"/>
      <c r="L13" s="52"/>
      <c r="M13" s="52"/>
      <c r="N13" s="52"/>
      <c r="O13" s="52"/>
      <c r="P13" s="52"/>
      <c r="Q13" s="52"/>
      <c r="R13" s="52"/>
      <c r="S13" s="52"/>
      <c r="T13" s="52"/>
      <c r="U13" s="52"/>
      <c r="V13" s="52"/>
      <c r="W13" s="52"/>
      <c r="X13" s="52"/>
      <c r="Y13" s="52"/>
      <c r="Z13" s="52"/>
    </row>
    <row r="14" spans="1:26" ht="16.5" customHeight="1" x14ac:dyDescent="0.35">
      <c r="A14" s="62" t="s">
        <v>37</v>
      </c>
      <c r="B14" s="63" t="s">
        <v>185</v>
      </c>
      <c r="C14" s="50"/>
      <c r="D14" s="61"/>
      <c r="E14" s="52"/>
      <c r="F14" s="52"/>
      <c r="G14" s="52"/>
      <c r="H14" s="52"/>
      <c r="I14" s="52"/>
      <c r="J14" s="52"/>
      <c r="K14" s="52"/>
      <c r="L14" s="52"/>
      <c r="M14" s="52"/>
      <c r="N14" s="52"/>
      <c r="O14" s="52"/>
      <c r="P14" s="52"/>
      <c r="Q14" s="52"/>
      <c r="R14" s="52"/>
      <c r="S14" s="52"/>
      <c r="T14" s="52"/>
      <c r="U14" s="52"/>
      <c r="V14" s="52"/>
      <c r="W14" s="52"/>
      <c r="X14" s="52"/>
      <c r="Y14" s="52"/>
      <c r="Z14" s="52"/>
    </row>
    <row r="15" spans="1:26" ht="16.5" customHeight="1" x14ac:dyDescent="0.35">
      <c r="A15" s="62" t="s">
        <v>186</v>
      </c>
      <c r="B15" s="63" t="s">
        <v>187</v>
      </c>
      <c r="C15" s="50"/>
      <c r="D15" s="61"/>
      <c r="E15" s="52"/>
      <c r="F15" s="52"/>
      <c r="G15" s="52"/>
      <c r="H15" s="52"/>
      <c r="I15" s="52"/>
      <c r="J15" s="52"/>
      <c r="K15" s="52"/>
      <c r="L15" s="52"/>
      <c r="M15" s="52"/>
      <c r="N15" s="52"/>
      <c r="O15" s="52"/>
      <c r="P15" s="52"/>
      <c r="Q15" s="52"/>
      <c r="R15" s="52"/>
      <c r="S15" s="52"/>
      <c r="T15" s="52"/>
      <c r="U15" s="52"/>
      <c r="V15" s="52"/>
      <c r="W15" s="52"/>
      <c r="X15" s="52"/>
      <c r="Y15" s="52"/>
      <c r="Z15" s="52"/>
    </row>
    <row r="16" spans="1:26" ht="16.5" customHeight="1" x14ac:dyDescent="0.35">
      <c r="A16" s="59" t="s">
        <v>188</v>
      </c>
      <c r="B16" s="64" t="s">
        <v>189</v>
      </c>
      <c r="D16" s="61" t="s">
        <v>190</v>
      </c>
      <c r="E16" s="52"/>
      <c r="F16" s="52"/>
      <c r="G16" s="52"/>
      <c r="H16" s="52"/>
      <c r="I16" s="52"/>
      <c r="J16" s="52"/>
      <c r="K16" s="52"/>
      <c r="L16" s="52"/>
      <c r="M16" s="52"/>
      <c r="N16" s="52"/>
      <c r="O16" s="52"/>
      <c r="P16" s="52"/>
      <c r="Q16" s="52"/>
      <c r="R16" s="52"/>
      <c r="S16" s="52"/>
      <c r="T16" s="52"/>
      <c r="U16" s="52"/>
      <c r="V16" s="52"/>
      <c r="W16" s="52"/>
      <c r="X16" s="52"/>
      <c r="Y16" s="52"/>
      <c r="Z16" s="52"/>
    </row>
    <row r="17" spans="1:26" ht="16.5" customHeight="1" x14ac:dyDescent="0.35">
      <c r="A17" s="59" t="s">
        <v>191</v>
      </c>
      <c r="B17" s="64" t="s">
        <v>192</v>
      </c>
      <c r="D17" s="61" t="s">
        <v>193</v>
      </c>
      <c r="E17" s="52"/>
      <c r="F17" s="52"/>
      <c r="G17" s="52"/>
      <c r="H17" s="52"/>
      <c r="I17" s="52"/>
      <c r="J17" s="52"/>
      <c r="K17" s="52"/>
      <c r="L17" s="52"/>
      <c r="M17" s="52"/>
      <c r="N17" s="52"/>
      <c r="O17" s="52"/>
      <c r="P17" s="52"/>
      <c r="Q17" s="52"/>
      <c r="R17" s="52"/>
      <c r="S17" s="52"/>
      <c r="T17" s="52"/>
      <c r="U17" s="52"/>
      <c r="V17" s="52"/>
      <c r="W17" s="52"/>
      <c r="X17" s="52"/>
      <c r="Y17" s="52"/>
      <c r="Z17" s="52"/>
    </row>
    <row r="18" spans="1:26" ht="16.5" hidden="1" customHeight="1" x14ac:dyDescent="0.35">
      <c r="A18" s="59" t="s">
        <v>194</v>
      </c>
      <c r="B18" s="64" t="s">
        <v>195</v>
      </c>
      <c r="C18" s="50"/>
      <c r="D18" s="65"/>
      <c r="E18" s="52"/>
      <c r="F18" s="52"/>
      <c r="G18" s="52"/>
      <c r="H18" s="52"/>
      <c r="I18" s="52"/>
      <c r="J18" s="52"/>
      <c r="K18" s="52"/>
      <c r="L18" s="52"/>
      <c r="M18" s="52"/>
      <c r="N18" s="52"/>
      <c r="O18" s="52"/>
      <c r="P18" s="52"/>
      <c r="Q18" s="52"/>
      <c r="R18" s="52"/>
      <c r="S18" s="52"/>
      <c r="T18" s="52"/>
      <c r="U18" s="52"/>
      <c r="V18" s="52"/>
      <c r="W18" s="52"/>
      <c r="X18" s="52"/>
      <c r="Y18" s="52"/>
      <c r="Z18" s="52"/>
    </row>
    <row r="19" spans="1:26" ht="16.5" hidden="1" customHeight="1" x14ac:dyDescent="0.35">
      <c r="A19" s="59" t="s">
        <v>196</v>
      </c>
      <c r="B19" s="64" t="s">
        <v>197</v>
      </c>
      <c r="C19" s="50"/>
      <c r="D19" s="65" t="s">
        <v>198</v>
      </c>
      <c r="E19" s="52"/>
      <c r="F19" s="52"/>
      <c r="G19" s="52"/>
      <c r="H19" s="52"/>
      <c r="I19" s="52"/>
      <c r="J19" s="52"/>
      <c r="K19" s="52"/>
      <c r="L19" s="52"/>
      <c r="M19" s="52"/>
      <c r="N19" s="52"/>
      <c r="O19" s="52"/>
      <c r="P19" s="52"/>
      <c r="Q19" s="52"/>
      <c r="R19" s="52"/>
      <c r="S19" s="52"/>
      <c r="T19" s="52"/>
      <c r="U19" s="52"/>
      <c r="V19" s="52"/>
      <c r="W19" s="52"/>
      <c r="X19" s="52"/>
      <c r="Y19" s="52"/>
      <c r="Z19" s="52"/>
    </row>
    <row r="20" spans="1:26" ht="16.5" hidden="1" customHeight="1" x14ac:dyDescent="0.35">
      <c r="A20" s="59" t="s">
        <v>199</v>
      </c>
      <c r="B20" s="64" t="s">
        <v>200</v>
      </c>
      <c r="C20" s="50"/>
      <c r="D20" s="65"/>
      <c r="E20" s="52"/>
      <c r="F20" s="52"/>
      <c r="G20" s="52"/>
      <c r="H20" s="52"/>
      <c r="I20" s="52"/>
      <c r="J20" s="52"/>
      <c r="K20" s="52"/>
      <c r="L20" s="52"/>
      <c r="M20" s="52"/>
      <c r="N20" s="52"/>
      <c r="O20" s="52"/>
      <c r="P20" s="52"/>
      <c r="Q20" s="52"/>
      <c r="R20" s="52"/>
      <c r="S20" s="52"/>
      <c r="T20" s="52"/>
      <c r="U20" s="52"/>
      <c r="V20" s="52"/>
      <c r="W20" s="52"/>
      <c r="X20" s="52"/>
      <c r="Y20" s="52"/>
      <c r="Z20" s="52"/>
    </row>
    <row r="21" spans="1:26" ht="16.5" hidden="1" customHeight="1" x14ac:dyDescent="0.35">
      <c r="A21" s="59" t="s">
        <v>201</v>
      </c>
      <c r="B21" s="64" t="s">
        <v>202</v>
      </c>
      <c r="C21" s="50"/>
      <c r="D21" s="65" t="s">
        <v>203</v>
      </c>
      <c r="E21" s="52"/>
      <c r="F21" s="52"/>
      <c r="G21" s="52"/>
      <c r="H21" s="52"/>
      <c r="I21" s="52"/>
      <c r="J21" s="52"/>
      <c r="K21" s="52"/>
      <c r="L21" s="52"/>
      <c r="M21" s="52"/>
      <c r="N21" s="52"/>
      <c r="O21" s="52"/>
      <c r="P21" s="52"/>
      <c r="Q21" s="52"/>
      <c r="R21" s="52"/>
      <c r="S21" s="52"/>
      <c r="T21" s="52"/>
      <c r="U21" s="52"/>
      <c r="V21" s="52"/>
      <c r="W21" s="52"/>
      <c r="X21" s="52"/>
      <c r="Y21" s="52"/>
      <c r="Z21" s="52"/>
    </row>
    <row r="22" spans="1:26" ht="16.5" hidden="1" customHeight="1" x14ac:dyDescent="0.35">
      <c r="A22" s="59" t="s">
        <v>204</v>
      </c>
      <c r="B22" s="64" t="s">
        <v>205</v>
      </c>
      <c r="C22" s="50"/>
      <c r="D22" s="65"/>
      <c r="E22" s="52"/>
      <c r="F22" s="52"/>
      <c r="G22" s="52"/>
      <c r="H22" s="52"/>
      <c r="I22" s="52"/>
      <c r="J22" s="52"/>
      <c r="K22" s="52"/>
      <c r="L22" s="52"/>
      <c r="M22" s="52"/>
      <c r="N22" s="52"/>
      <c r="O22" s="52"/>
      <c r="P22" s="52"/>
      <c r="Q22" s="52"/>
      <c r="R22" s="52"/>
      <c r="S22" s="52"/>
      <c r="T22" s="52"/>
      <c r="U22" s="52"/>
      <c r="V22" s="52"/>
      <c r="W22" s="52"/>
      <c r="X22" s="52"/>
      <c r="Y22" s="52"/>
      <c r="Z22" s="52"/>
    </row>
    <row r="23" spans="1:26" ht="16.5" hidden="1" customHeight="1" x14ac:dyDescent="0.35">
      <c r="A23" s="59" t="s">
        <v>206</v>
      </c>
      <c r="B23" s="60" t="s">
        <v>207</v>
      </c>
      <c r="C23" s="50"/>
      <c r="D23" s="66"/>
      <c r="E23" s="52"/>
      <c r="F23" s="52"/>
      <c r="G23" s="52"/>
      <c r="H23" s="52"/>
      <c r="I23" s="52"/>
      <c r="J23" s="52"/>
      <c r="K23" s="52"/>
      <c r="L23" s="52"/>
      <c r="M23" s="52"/>
      <c r="N23" s="52"/>
      <c r="O23" s="52"/>
      <c r="P23" s="52"/>
      <c r="Q23" s="52"/>
      <c r="R23" s="52"/>
      <c r="S23" s="52"/>
      <c r="T23" s="52"/>
      <c r="U23" s="52"/>
      <c r="V23" s="52"/>
      <c r="W23" s="52"/>
      <c r="X23" s="52"/>
      <c r="Y23" s="52"/>
      <c r="Z23" s="52"/>
    </row>
    <row r="24" spans="1:26" ht="16.5" customHeight="1" x14ac:dyDescent="0.35">
      <c r="A24" s="59" t="s">
        <v>194</v>
      </c>
      <c r="B24" s="60" t="s">
        <v>208</v>
      </c>
      <c r="C24" s="50"/>
      <c r="D24" s="67"/>
      <c r="E24" s="52"/>
      <c r="F24" s="52"/>
      <c r="G24" s="52"/>
      <c r="H24" s="52"/>
      <c r="I24" s="52"/>
      <c r="J24" s="52"/>
      <c r="K24" s="52"/>
      <c r="L24" s="52"/>
      <c r="M24" s="52"/>
      <c r="N24" s="52"/>
      <c r="O24" s="52"/>
      <c r="P24" s="52"/>
      <c r="Q24" s="52"/>
      <c r="R24" s="52"/>
      <c r="S24" s="52"/>
      <c r="T24" s="52"/>
      <c r="U24" s="52"/>
      <c r="V24" s="52"/>
      <c r="W24" s="52"/>
      <c r="X24" s="52"/>
      <c r="Y24" s="52"/>
      <c r="Z24" s="52"/>
    </row>
    <row r="25" spans="1:26" ht="16.5" hidden="1" customHeight="1" x14ac:dyDescent="0.35">
      <c r="A25" s="62" t="s">
        <v>209</v>
      </c>
      <c r="B25" s="60" t="s">
        <v>210</v>
      </c>
      <c r="C25" s="50"/>
      <c r="D25" s="67"/>
      <c r="E25" s="52"/>
      <c r="F25" s="52"/>
      <c r="G25" s="52"/>
      <c r="H25" s="52"/>
      <c r="I25" s="52"/>
      <c r="J25" s="52"/>
      <c r="K25" s="52"/>
      <c r="L25" s="52"/>
      <c r="M25" s="52"/>
      <c r="N25" s="52"/>
      <c r="O25" s="52"/>
      <c r="P25" s="52"/>
      <c r="Q25" s="52"/>
      <c r="R25" s="52"/>
      <c r="S25" s="52"/>
      <c r="T25" s="52"/>
      <c r="U25" s="52"/>
      <c r="V25" s="52"/>
      <c r="W25" s="52"/>
      <c r="X25" s="52"/>
      <c r="Y25" s="52"/>
      <c r="Z25" s="52"/>
    </row>
    <row r="26" spans="1:26" ht="16.5" customHeight="1" x14ac:dyDescent="0.35">
      <c r="A26" s="59" t="s">
        <v>211</v>
      </c>
      <c r="B26" s="60" t="s">
        <v>212</v>
      </c>
      <c r="C26" s="50"/>
      <c r="D26" s="67"/>
      <c r="E26" s="52"/>
      <c r="F26" s="52"/>
      <c r="G26" s="52"/>
      <c r="H26" s="52"/>
      <c r="I26" s="52"/>
      <c r="J26" s="52"/>
      <c r="K26" s="52"/>
      <c r="L26" s="52"/>
      <c r="M26" s="52"/>
      <c r="N26" s="52"/>
      <c r="O26" s="52"/>
      <c r="P26" s="52"/>
      <c r="Q26" s="52"/>
      <c r="R26" s="52"/>
      <c r="S26" s="52"/>
      <c r="T26" s="52"/>
      <c r="U26" s="52"/>
      <c r="V26" s="52"/>
      <c r="W26" s="52"/>
      <c r="X26" s="52"/>
      <c r="Y26" s="52"/>
      <c r="Z26" s="52"/>
    </row>
    <row r="27" spans="1:26" ht="16.5" hidden="1" customHeight="1" x14ac:dyDescent="0.35">
      <c r="A27" s="62" t="s">
        <v>213</v>
      </c>
      <c r="B27" s="60" t="s">
        <v>214</v>
      </c>
      <c r="C27" s="50"/>
      <c r="D27" s="67"/>
      <c r="E27" s="52"/>
      <c r="F27" s="52"/>
      <c r="G27" s="52"/>
      <c r="H27" s="52"/>
      <c r="I27" s="52"/>
      <c r="J27" s="52"/>
      <c r="K27" s="52"/>
      <c r="L27" s="52"/>
      <c r="M27" s="52"/>
      <c r="N27" s="52"/>
      <c r="O27" s="52"/>
      <c r="P27" s="52"/>
      <c r="Q27" s="52"/>
      <c r="R27" s="52"/>
      <c r="S27" s="52"/>
      <c r="T27" s="52"/>
      <c r="U27" s="52"/>
      <c r="V27" s="52"/>
      <c r="W27" s="52"/>
      <c r="X27" s="52"/>
      <c r="Y27" s="52"/>
      <c r="Z27" s="52"/>
    </row>
    <row r="28" spans="1:26" ht="16.5" hidden="1" customHeight="1" x14ac:dyDescent="0.35">
      <c r="A28" s="62" t="s">
        <v>215</v>
      </c>
      <c r="B28" s="60" t="s">
        <v>216</v>
      </c>
      <c r="C28" s="50"/>
      <c r="D28" s="67"/>
      <c r="E28" s="52"/>
      <c r="F28" s="52"/>
      <c r="G28" s="52"/>
      <c r="H28" s="52"/>
      <c r="I28" s="52"/>
      <c r="J28" s="52"/>
      <c r="K28" s="52"/>
      <c r="L28" s="52"/>
      <c r="M28" s="52"/>
      <c r="N28" s="52"/>
      <c r="O28" s="52"/>
      <c r="P28" s="52"/>
      <c r="Q28" s="52"/>
      <c r="R28" s="52"/>
      <c r="S28" s="52"/>
      <c r="T28" s="52"/>
      <c r="U28" s="52"/>
      <c r="V28" s="52"/>
      <c r="W28" s="52"/>
      <c r="X28" s="52"/>
      <c r="Y28" s="52"/>
      <c r="Z28" s="52"/>
    </row>
    <row r="29" spans="1:26" ht="16.5" customHeight="1" x14ac:dyDescent="0.35">
      <c r="A29" s="59" t="s">
        <v>217</v>
      </c>
      <c r="B29" s="60" t="s">
        <v>218</v>
      </c>
      <c r="C29" s="50"/>
      <c r="D29" s="67"/>
      <c r="E29" s="52"/>
      <c r="F29" s="52"/>
      <c r="G29" s="52"/>
      <c r="H29" s="52"/>
      <c r="I29" s="52"/>
      <c r="J29" s="52"/>
      <c r="K29" s="52"/>
      <c r="L29" s="52"/>
      <c r="M29" s="52"/>
      <c r="N29" s="52"/>
      <c r="O29" s="52"/>
      <c r="P29" s="52"/>
      <c r="Q29" s="52"/>
      <c r="R29" s="52"/>
      <c r="S29" s="52"/>
      <c r="T29" s="52"/>
      <c r="U29" s="52"/>
      <c r="V29" s="52"/>
      <c r="W29" s="52"/>
      <c r="X29" s="52"/>
      <c r="Y29" s="52"/>
      <c r="Z29" s="52"/>
    </row>
    <row r="30" spans="1:26" ht="16.5" customHeight="1" x14ac:dyDescent="0.35">
      <c r="A30" s="59" t="s">
        <v>219</v>
      </c>
      <c r="B30" s="60"/>
      <c r="C30" s="50"/>
      <c r="D30" s="61"/>
      <c r="E30" s="52"/>
      <c r="F30" s="52"/>
      <c r="G30" s="52"/>
      <c r="H30" s="52"/>
      <c r="I30" s="52"/>
      <c r="J30" s="52"/>
      <c r="K30" s="52"/>
      <c r="L30" s="52"/>
      <c r="M30" s="52"/>
      <c r="N30" s="52"/>
      <c r="O30" s="52"/>
      <c r="P30" s="52"/>
      <c r="Q30" s="52"/>
      <c r="R30" s="52"/>
      <c r="S30" s="52"/>
      <c r="T30" s="52"/>
      <c r="U30" s="52"/>
      <c r="V30" s="52"/>
      <c r="W30" s="52"/>
      <c r="X30" s="52"/>
      <c r="Y30" s="52"/>
      <c r="Z30" s="52"/>
    </row>
    <row r="31" spans="1:26" ht="16.5" customHeight="1" x14ac:dyDescent="0.35">
      <c r="A31" s="68" t="s">
        <v>220</v>
      </c>
      <c r="B31" s="69"/>
      <c r="C31" s="50"/>
      <c r="D31" s="61"/>
      <c r="E31" s="52"/>
      <c r="F31" s="52"/>
      <c r="G31" s="52"/>
      <c r="H31" s="52"/>
      <c r="I31" s="52"/>
      <c r="J31" s="52"/>
      <c r="K31" s="52"/>
      <c r="L31" s="52"/>
      <c r="M31" s="52"/>
      <c r="N31" s="52"/>
      <c r="O31" s="52"/>
      <c r="P31" s="52"/>
      <c r="Q31" s="52"/>
      <c r="R31" s="52"/>
      <c r="S31" s="52"/>
      <c r="T31" s="52"/>
      <c r="U31" s="52"/>
      <c r="V31" s="52"/>
      <c r="W31" s="52"/>
      <c r="X31" s="52"/>
      <c r="Y31" s="52"/>
      <c r="Z31" s="52"/>
    </row>
    <row r="32" spans="1:26" ht="16.5" customHeight="1" x14ac:dyDescent="0.35">
      <c r="A32" s="62" t="s">
        <v>221</v>
      </c>
      <c r="B32" s="60" t="s">
        <v>222</v>
      </c>
      <c r="C32" s="50"/>
      <c r="D32" s="60" t="s">
        <v>223</v>
      </c>
      <c r="E32" s="52"/>
      <c r="F32" s="52"/>
      <c r="G32" s="52"/>
      <c r="H32" s="52"/>
      <c r="I32" s="52"/>
      <c r="J32" s="52"/>
      <c r="K32" s="52"/>
      <c r="L32" s="52"/>
      <c r="M32" s="52"/>
      <c r="N32" s="52"/>
      <c r="O32" s="52"/>
      <c r="P32" s="52"/>
      <c r="Q32" s="52"/>
      <c r="R32" s="52"/>
      <c r="S32" s="52"/>
      <c r="T32" s="52"/>
      <c r="U32" s="52"/>
      <c r="V32" s="52"/>
      <c r="W32" s="52"/>
      <c r="X32" s="52"/>
      <c r="Y32" s="52"/>
      <c r="Z32" s="52"/>
    </row>
    <row r="33" spans="1:26" ht="16.5" customHeight="1" x14ac:dyDescent="0.35">
      <c r="A33" s="62" t="s">
        <v>224</v>
      </c>
      <c r="B33" s="60" t="s">
        <v>225</v>
      </c>
      <c r="C33" s="50"/>
      <c r="D33" s="61"/>
      <c r="E33" s="52"/>
      <c r="F33" s="52"/>
      <c r="G33" s="52"/>
      <c r="H33" s="52"/>
      <c r="I33" s="52"/>
      <c r="J33" s="52"/>
      <c r="K33" s="52"/>
      <c r="L33" s="52"/>
      <c r="M33" s="52"/>
      <c r="N33" s="52"/>
      <c r="O33" s="52"/>
      <c r="P33" s="52"/>
      <c r="Q33" s="52"/>
      <c r="R33" s="52"/>
      <c r="S33" s="52"/>
      <c r="T33" s="52"/>
      <c r="U33" s="52"/>
      <c r="V33" s="52"/>
      <c r="W33" s="52"/>
      <c r="X33" s="52"/>
      <c r="Y33" s="52"/>
      <c r="Z33" s="52"/>
    </row>
    <row r="34" spans="1:26" ht="16.5" customHeight="1" x14ac:dyDescent="0.35">
      <c r="A34" s="68" t="s">
        <v>226</v>
      </c>
      <c r="B34" s="60"/>
      <c r="C34" s="50"/>
      <c r="D34" s="61"/>
      <c r="E34" s="52"/>
      <c r="F34" s="52"/>
      <c r="G34" s="52"/>
      <c r="H34" s="52"/>
      <c r="I34" s="52"/>
      <c r="J34" s="52"/>
      <c r="K34" s="52"/>
      <c r="L34" s="52"/>
      <c r="M34" s="52"/>
      <c r="N34" s="52"/>
      <c r="O34" s="52"/>
      <c r="P34" s="52"/>
      <c r="Q34" s="52"/>
      <c r="R34" s="52"/>
      <c r="S34" s="52"/>
      <c r="T34" s="52"/>
      <c r="U34" s="52"/>
      <c r="V34" s="52"/>
      <c r="W34" s="52"/>
      <c r="X34" s="52"/>
      <c r="Y34" s="52"/>
      <c r="Z34" s="52"/>
    </row>
    <row r="35" spans="1:26" ht="16.5" customHeight="1" x14ac:dyDescent="0.35">
      <c r="A35" s="62" t="s">
        <v>41</v>
      </c>
      <c r="B35" s="60" t="s">
        <v>227</v>
      </c>
      <c r="C35" s="50"/>
      <c r="D35" s="60" t="s">
        <v>228</v>
      </c>
      <c r="E35" s="52"/>
      <c r="F35" s="52"/>
      <c r="G35" s="52"/>
      <c r="H35" s="52"/>
      <c r="I35" s="52"/>
      <c r="J35" s="52"/>
      <c r="K35" s="52"/>
      <c r="L35" s="52"/>
      <c r="M35" s="52"/>
      <c r="N35" s="52"/>
      <c r="O35" s="52"/>
      <c r="P35" s="52"/>
      <c r="Q35" s="52"/>
      <c r="R35" s="52"/>
      <c r="S35" s="52"/>
      <c r="T35" s="52"/>
      <c r="U35" s="52"/>
      <c r="V35" s="52"/>
      <c r="W35" s="52"/>
      <c r="X35" s="52"/>
      <c r="Y35" s="52"/>
      <c r="Z35" s="52"/>
    </row>
    <row r="36" spans="1:26" ht="16.5" customHeight="1" x14ac:dyDescent="0.35">
      <c r="A36" s="62" t="s">
        <v>229</v>
      </c>
      <c r="B36" s="60" t="s">
        <v>230</v>
      </c>
      <c r="C36" s="50"/>
      <c r="D36" s="60" t="s">
        <v>231</v>
      </c>
      <c r="E36" s="52"/>
      <c r="F36" s="52"/>
      <c r="G36" s="52"/>
      <c r="H36" s="52"/>
      <c r="I36" s="52"/>
      <c r="J36" s="52"/>
      <c r="K36" s="52"/>
      <c r="L36" s="52"/>
      <c r="M36" s="52"/>
      <c r="N36" s="52"/>
      <c r="O36" s="52"/>
      <c r="P36" s="52"/>
      <c r="Q36" s="52"/>
      <c r="R36" s="52"/>
      <c r="S36" s="52"/>
      <c r="T36" s="52"/>
      <c r="U36" s="52"/>
      <c r="V36" s="52"/>
      <c r="W36" s="52"/>
      <c r="X36" s="52"/>
      <c r="Y36" s="52"/>
      <c r="Z36" s="52"/>
    </row>
    <row r="37" spans="1:26" ht="16.5" customHeight="1" x14ac:dyDescent="0.35">
      <c r="A37" s="62" t="s">
        <v>232</v>
      </c>
      <c r="B37" s="60" t="s">
        <v>233</v>
      </c>
      <c r="C37" s="50"/>
      <c r="D37" s="60" t="s">
        <v>234</v>
      </c>
      <c r="E37" s="52"/>
      <c r="F37" s="52"/>
      <c r="G37" s="52"/>
      <c r="H37" s="52"/>
      <c r="I37" s="52"/>
      <c r="J37" s="52"/>
      <c r="K37" s="52"/>
      <c r="L37" s="52"/>
      <c r="M37" s="52"/>
      <c r="N37" s="52"/>
      <c r="O37" s="52"/>
      <c r="P37" s="52"/>
      <c r="Q37" s="52"/>
      <c r="R37" s="52"/>
      <c r="S37" s="52"/>
      <c r="T37" s="52"/>
      <c r="U37" s="52"/>
      <c r="V37" s="52"/>
      <c r="W37" s="52"/>
      <c r="X37" s="52"/>
      <c r="Y37" s="52"/>
      <c r="Z37" s="52"/>
    </row>
    <row r="38" spans="1:26" ht="16.5" customHeight="1" x14ac:dyDescent="0.35">
      <c r="A38" s="68" t="s">
        <v>235</v>
      </c>
      <c r="B38" s="60"/>
      <c r="C38" s="50"/>
      <c r="D38" s="61"/>
      <c r="E38" s="52"/>
      <c r="F38" s="52"/>
      <c r="G38" s="52"/>
      <c r="H38" s="52"/>
      <c r="I38" s="52"/>
      <c r="J38" s="52"/>
      <c r="K38" s="52"/>
      <c r="L38" s="52"/>
      <c r="M38" s="52"/>
      <c r="N38" s="52"/>
      <c r="O38" s="52"/>
      <c r="P38" s="52"/>
      <c r="Q38" s="52"/>
      <c r="R38" s="52"/>
      <c r="S38" s="52"/>
      <c r="T38" s="52"/>
      <c r="U38" s="52"/>
      <c r="V38" s="52"/>
      <c r="W38" s="52"/>
      <c r="X38" s="52"/>
      <c r="Y38" s="52"/>
      <c r="Z38" s="52"/>
    </row>
    <row r="39" spans="1:26" ht="16.5" customHeight="1" x14ac:dyDescent="0.35">
      <c r="A39" s="62" t="s">
        <v>236</v>
      </c>
      <c r="B39" s="60" t="s">
        <v>237</v>
      </c>
      <c r="C39" s="50"/>
      <c r="D39" s="61"/>
      <c r="E39" s="52"/>
      <c r="F39" s="52"/>
      <c r="G39" s="52"/>
      <c r="H39" s="52"/>
      <c r="I39" s="52"/>
      <c r="J39" s="52"/>
      <c r="K39" s="52"/>
      <c r="L39" s="52"/>
      <c r="M39" s="52"/>
      <c r="N39" s="52"/>
      <c r="O39" s="52"/>
      <c r="P39" s="52"/>
      <c r="Q39" s="52"/>
      <c r="R39" s="52"/>
      <c r="S39" s="52"/>
      <c r="T39" s="52"/>
      <c r="U39" s="52"/>
      <c r="V39" s="52"/>
      <c r="W39" s="52"/>
      <c r="X39" s="52"/>
      <c r="Y39" s="52"/>
      <c r="Z39" s="52"/>
    </row>
    <row r="40" spans="1:26" ht="16.5" customHeight="1" x14ac:dyDescent="0.35">
      <c r="A40" s="62" t="s">
        <v>238</v>
      </c>
      <c r="B40" s="60" t="s">
        <v>239</v>
      </c>
      <c r="C40" s="50"/>
      <c r="D40" s="61"/>
      <c r="E40" s="52"/>
      <c r="F40" s="52"/>
      <c r="G40" s="52"/>
      <c r="H40" s="52"/>
      <c r="I40" s="52"/>
      <c r="J40" s="52"/>
      <c r="K40" s="52"/>
      <c r="L40" s="52"/>
      <c r="M40" s="52"/>
      <c r="N40" s="52"/>
      <c r="O40" s="52"/>
      <c r="P40" s="52"/>
      <c r="Q40" s="52"/>
      <c r="R40" s="52"/>
      <c r="S40" s="52"/>
      <c r="T40" s="52"/>
      <c r="U40" s="52"/>
      <c r="V40" s="52"/>
      <c r="W40" s="52"/>
      <c r="X40" s="52"/>
      <c r="Y40" s="52"/>
      <c r="Z40" s="52"/>
    </row>
    <row r="41" spans="1:26" ht="16.5" hidden="1" customHeight="1" x14ac:dyDescent="0.35">
      <c r="A41" s="59" t="s">
        <v>240</v>
      </c>
      <c r="B41" s="60" t="s">
        <v>241</v>
      </c>
      <c r="C41" s="50"/>
      <c r="D41" s="61"/>
      <c r="E41" s="52"/>
      <c r="F41" s="52"/>
      <c r="G41" s="52"/>
      <c r="H41" s="52"/>
      <c r="I41" s="52"/>
      <c r="J41" s="52"/>
      <c r="K41" s="52"/>
      <c r="L41" s="52"/>
      <c r="M41" s="52"/>
      <c r="N41" s="52"/>
      <c r="O41" s="52"/>
      <c r="P41" s="52"/>
      <c r="Q41" s="52"/>
      <c r="R41" s="52"/>
      <c r="S41" s="52"/>
      <c r="T41" s="52"/>
      <c r="U41" s="52"/>
      <c r="V41" s="52"/>
      <c r="W41" s="52"/>
      <c r="X41" s="52"/>
      <c r="Y41" s="52"/>
      <c r="Z41" s="52"/>
    </row>
    <row r="42" spans="1:26" ht="16.5" hidden="1" customHeight="1" x14ac:dyDescent="0.35">
      <c r="A42" s="59" t="s">
        <v>242</v>
      </c>
      <c r="B42" s="60" t="s">
        <v>243</v>
      </c>
      <c r="C42" s="50"/>
      <c r="D42" s="61" t="s">
        <v>244</v>
      </c>
      <c r="E42" s="52"/>
      <c r="F42" s="52"/>
      <c r="G42" s="52"/>
      <c r="H42" s="52"/>
      <c r="I42" s="52"/>
      <c r="J42" s="52"/>
      <c r="K42" s="52"/>
      <c r="L42" s="52"/>
      <c r="M42" s="52"/>
      <c r="N42" s="52"/>
      <c r="O42" s="52"/>
      <c r="P42" s="52"/>
      <c r="Q42" s="52"/>
      <c r="R42" s="52"/>
      <c r="S42" s="52"/>
      <c r="T42" s="52"/>
      <c r="U42" s="52"/>
      <c r="V42" s="52"/>
      <c r="W42" s="52"/>
      <c r="X42" s="52"/>
      <c r="Y42" s="52"/>
      <c r="Z42" s="52"/>
    </row>
    <row r="43" spans="1:26" ht="16.5" hidden="1" customHeight="1" x14ac:dyDescent="0.35">
      <c r="A43" s="59" t="s">
        <v>199</v>
      </c>
      <c r="B43" s="60" t="s">
        <v>245</v>
      </c>
      <c r="C43" s="50"/>
      <c r="D43" s="61"/>
      <c r="E43" s="52"/>
      <c r="F43" s="52"/>
      <c r="G43" s="52"/>
      <c r="H43" s="52"/>
      <c r="I43" s="52"/>
      <c r="J43" s="52"/>
      <c r="K43" s="52"/>
      <c r="L43" s="52"/>
      <c r="M43" s="52"/>
      <c r="N43" s="52"/>
      <c r="O43" s="52"/>
      <c r="P43" s="52"/>
      <c r="Q43" s="52"/>
      <c r="R43" s="52"/>
      <c r="S43" s="52"/>
      <c r="T43" s="52"/>
      <c r="U43" s="52"/>
      <c r="V43" s="52"/>
      <c r="W43" s="52"/>
      <c r="X43" s="52"/>
      <c r="Y43" s="52"/>
      <c r="Z43" s="52"/>
    </row>
    <row r="44" spans="1:26" ht="16.5" hidden="1" customHeight="1" x14ac:dyDescent="0.35">
      <c r="A44" s="59" t="s">
        <v>246</v>
      </c>
      <c r="B44" s="60" t="s">
        <v>247</v>
      </c>
      <c r="C44" s="50"/>
      <c r="D44" s="61" t="s">
        <v>244</v>
      </c>
      <c r="E44" s="52"/>
      <c r="F44" s="52"/>
      <c r="G44" s="52"/>
      <c r="H44" s="52"/>
      <c r="I44" s="52"/>
      <c r="J44" s="52"/>
      <c r="K44" s="52"/>
      <c r="L44" s="52"/>
      <c r="M44" s="52"/>
      <c r="N44" s="52"/>
      <c r="O44" s="52"/>
      <c r="P44" s="52"/>
      <c r="Q44" s="52"/>
      <c r="R44" s="52"/>
      <c r="S44" s="52"/>
      <c r="T44" s="52"/>
      <c r="U44" s="52"/>
      <c r="V44" s="52"/>
      <c r="W44" s="52"/>
      <c r="X44" s="52"/>
      <c r="Y44" s="52"/>
      <c r="Z44" s="52"/>
    </row>
    <row r="45" spans="1:26" ht="16.5" hidden="1" customHeight="1" x14ac:dyDescent="0.35">
      <c r="A45" s="59" t="s">
        <v>204</v>
      </c>
      <c r="B45" s="60" t="s">
        <v>248</v>
      </c>
      <c r="C45" s="50"/>
      <c r="D45" s="61"/>
      <c r="E45" s="52"/>
      <c r="F45" s="52"/>
      <c r="G45" s="52"/>
      <c r="H45" s="52"/>
      <c r="I45" s="52"/>
      <c r="J45" s="52"/>
      <c r="K45" s="52"/>
      <c r="L45" s="52"/>
      <c r="M45" s="52"/>
      <c r="N45" s="52"/>
      <c r="O45" s="52"/>
      <c r="P45" s="52"/>
      <c r="Q45" s="52"/>
      <c r="R45" s="52"/>
      <c r="S45" s="52"/>
      <c r="T45" s="52"/>
      <c r="U45" s="52"/>
      <c r="V45" s="52"/>
      <c r="W45" s="52"/>
      <c r="X45" s="52"/>
      <c r="Y45" s="52"/>
      <c r="Z45" s="52"/>
    </row>
    <row r="46" spans="1:26" ht="16.5" hidden="1" customHeight="1" x14ac:dyDescent="0.35">
      <c r="A46" s="59" t="s">
        <v>206</v>
      </c>
      <c r="B46" s="60" t="s">
        <v>249</v>
      </c>
      <c r="C46" s="50"/>
      <c r="D46" s="61"/>
      <c r="E46" s="52"/>
      <c r="F46" s="52"/>
      <c r="G46" s="52"/>
      <c r="H46" s="52"/>
      <c r="I46" s="52"/>
      <c r="J46" s="52"/>
      <c r="K46" s="52"/>
      <c r="L46" s="52"/>
      <c r="M46" s="52"/>
      <c r="N46" s="52"/>
      <c r="O46" s="52"/>
      <c r="P46" s="52"/>
      <c r="Q46" s="52"/>
      <c r="R46" s="52"/>
      <c r="S46" s="52"/>
      <c r="T46" s="52"/>
      <c r="U46" s="52"/>
      <c r="V46" s="52"/>
      <c r="W46" s="52"/>
      <c r="X46" s="52"/>
      <c r="Y46" s="52"/>
      <c r="Z46" s="52"/>
    </row>
    <row r="47" spans="1:26" ht="16.5" hidden="1" customHeight="1" x14ac:dyDescent="0.35">
      <c r="A47" s="59" t="s">
        <v>250</v>
      </c>
      <c r="B47" s="60" t="s">
        <v>251</v>
      </c>
      <c r="D47" s="61"/>
      <c r="E47" s="52"/>
      <c r="F47" s="52"/>
      <c r="G47" s="52"/>
      <c r="H47" s="52"/>
      <c r="I47" s="52"/>
      <c r="J47" s="52"/>
      <c r="K47" s="52"/>
      <c r="L47" s="52"/>
      <c r="M47" s="52"/>
      <c r="N47" s="52"/>
      <c r="O47" s="52"/>
      <c r="P47" s="52"/>
      <c r="Q47" s="52"/>
      <c r="R47" s="52"/>
      <c r="S47" s="52"/>
      <c r="T47" s="52"/>
      <c r="U47" s="52"/>
      <c r="V47" s="52"/>
      <c r="W47" s="52"/>
      <c r="X47" s="52"/>
      <c r="Y47" s="52"/>
      <c r="Z47" s="52"/>
    </row>
    <row r="48" spans="1:26" ht="16.5" customHeight="1" x14ac:dyDescent="0.35">
      <c r="A48" s="59" t="s">
        <v>252</v>
      </c>
      <c r="B48" s="64" t="s">
        <v>253</v>
      </c>
      <c r="D48" s="66" t="s">
        <v>254</v>
      </c>
      <c r="E48" s="52"/>
      <c r="F48" s="52"/>
      <c r="G48" s="52"/>
      <c r="H48" s="52"/>
      <c r="I48" s="52"/>
      <c r="J48" s="52"/>
      <c r="K48" s="52"/>
      <c r="L48" s="52"/>
      <c r="M48" s="52"/>
      <c r="N48" s="52"/>
      <c r="O48" s="52"/>
      <c r="P48" s="52"/>
      <c r="Q48" s="52"/>
      <c r="R48" s="52"/>
      <c r="S48" s="52"/>
      <c r="T48" s="52"/>
      <c r="U48" s="52"/>
      <c r="V48" s="52"/>
      <c r="W48" s="52"/>
      <c r="X48" s="52"/>
      <c r="Y48" s="52"/>
      <c r="Z48" s="52"/>
    </row>
    <row r="49" spans="1:26" ht="16.5" customHeight="1" x14ac:dyDescent="0.35">
      <c r="A49" s="59" t="s">
        <v>255</v>
      </c>
      <c r="B49" s="60" t="s">
        <v>256</v>
      </c>
      <c r="C49" s="50"/>
      <c r="D49" s="61" t="s">
        <v>257</v>
      </c>
      <c r="E49" s="52"/>
      <c r="F49" s="52"/>
      <c r="G49" s="52"/>
      <c r="H49" s="52"/>
      <c r="I49" s="52"/>
      <c r="J49" s="52"/>
      <c r="K49" s="52"/>
      <c r="L49" s="52"/>
      <c r="M49" s="52"/>
      <c r="N49" s="52"/>
      <c r="O49" s="52"/>
      <c r="P49" s="52"/>
      <c r="Q49" s="52"/>
      <c r="R49" s="52"/>
      <c r="S49" s="52"/>
      <c r="T49" s="52"/>
      <c r="U49" s="52"/>
      <c r="V49" s="52"/>
      <c r="W49" s="52"/>
      <c r="X49" s="52"/>
      <c r="Y49" s="52"/>
      <c r="Z49" s="52"/>
    </row>
    <row r="50" spans="1:26" ht="16.5" hidden="1" customHeight="1" x14ac:dyDescent="0.35">
      <c r="A50" s="59" t="s">
        <v>258</v>
      </c>
      <c r="B50" s="64" t="s">
        <v>259</v>
      </c>
      <c r="C50" s="50"/>
      <c r="D50" s="65" t="s">
        <v>260</v>
      </c>
      <c r="E50" s="52"/>
      <c r="F50" s="52"/>
      <c r="G50" s="52"/>
      <c r="H50" s="52"/>
      <c r="I50" s="52"/>
      <c r="J50" s="52"/>
      <c r="K50" s="52"/>
      <c r="L50" s="52"/>
      <c r="M50" s="52"/>
      <c r="N50" s="52"/>
      <c r="O50" s="52"/>
      <c r="P50" s="52"/>
      <c r="Q50" s="52"/>
      <c r="R50" s="52"/>
      <c r="S50" s="52"/>
      <c r="T50" s="52"/>
      <c r="U50" s="52"/>
      <c r="V50" s="52"/>
      <c r="W50" s="52"/>
      <c r="X50" s="52"/>
      <c r="Y50" s="52"/>
      <c r="Z50" s="52"/>
    </row>
    <row r="51" spans="1:26" ht="16.5" customHeight="1" x14ac:dyDescent="0.35">
      <c r="A51" s="59" t="s">
        <v>261</v>
      </c>
      <c r="B51" s="60" t="s">
        <v>262</v>
      </c>
      <c r="D51" s="65" t="s">
        <v>263</v>
      </c>
      <c r="E51" s="52"/>
      <c r="F51" s="52"/>
      <c r="G51" s="52"/>
      <c r="H51" s="52"/>
      <c r="I51" s="52"/>
      <c r="J51" s="52"/>
      <c r="K51" s="52"/>
      <c r="L51" s="52"/>
      <c r="M51" s="52"/>
      <c r="N51" s="52"/>
      <c r="O51" s="52"/>
      <c r="P51" s="52"/>
      <c r="Q51" s="52"/>
      <c r="R51" s="52"/>
      <c r="S51" s="52"/>
      <c r="T51" s="52"/>
      <c r="U51" s="52"/>
      <c r="V51" s="52"/>
      <c r="W51" s="52"/>
      <c r="X51" s="52"/>
      <c r="Y51" s="52"/>
      <c r="Z51" s="52"/>
    </row>
    <row r="52" spans="1:26" ht="16.5" hidden="1" customHeight="1" x14ac:dyDescent="0.35">
      <c r="A52" s="62" t="s">
        <v>264</v>
      </c>
      <c r="B52" s="60" t="s">
        <v>265</v>
      </c>
      <c r="C52" s="50"/>
      <c r="D52" s="61"/>
      <c r="E52" s="52"/>
      <c r="F52" s="52"/>
      <c r="G52" s="52"/>
      <c r="H52" s="52"/>
      <c r="I52" s="52"/>
      <c r="J52" s="52"/>
      <c r="K52" s="52"/>
      <c r="L52" s="52"/>
      <c r="M52" s="52"/>
      <c r="N52" s="52"/>
      <c r="O52" s="52"/>
      <c r="P52" s="52"/>
      <c r="Q52" s="52"/>
      <c r="R52" s="52"/>
      <c r="S52" s="52"/>
      <c r="T52" s="52"/>
      <c r="U52" s="52"/>
      <c r="V52" s="52"/>
      <c r="W52" s="52"/>
      <c r="X52" s="52"/>
      <c r="Y52" s="52"/>
      <c r="Z52" s="52"/>
    </row>
    <row r="53" spans="1:26" ht="16.5" hidden="1" customHeight="1" x14ac:dyDescent="0.35">
      <c r="A53" s="62" t="s">
        <v>266</v>
      </c>
      <c r="B53" s="60" t="s">
        <v>267</v>
      </c>
      <c r="C53" s="50"/>
      <c r="D53" s="61"/>
      <c r="E53" s="52"/>
      <c r="F53" s="52"/>
      <c r="G53" s="52"/>
      <c r="H53" s="52"/>
      <c r="I53" s="52"/>
      <c r="J53" s="52"/>
      <c r="K53" s="52"/>
      <c r="L53" s="52"/>
      <c r="M53" s="52"/>
      <c r="N53" s="52"/>
      <c r="O53" s="52"/>
      <c r="P53" s="52"/>
      <c r="Q53" s="52"/>
      <c r="R53" s="52"/>
      <c r="S53" s="52"/>
      <c r="T53" s="52"/>
      <c r="U53" s="52"/>
      <c r="V53" s="52"/>
      <c r="W53" s="52"/>
      <c r="X53" s="52"/>
      <c r="Y53" s="52"/>
      <c r="Z53" s="52"/>
    </row>
    <row r="54" spans="1:26" ht="16.5" hidden="1" customHeight="1" x14ac:dyDescent="0.35">
      <c r="A54" s="62" t="s">
        <v>268</v>
      </c>
      <c r="B54" s="60" t="s">
        <v>269</v>
      </c>
      <c r="C54" s="50"/>
      <c r="D54" s="67" t="s">
        <v>270</v>
      </c>
      <c r="E54" s="52"/>
      <c r="F54" s="52"/>
      <c r="G54" s="52"/>
      <c r="H54" s="52"/>
      <c r="I54" s="52"/>
      <c r="J54" s="52"/>
      <c r="K54" s="52"/>
      <c r="L54" s="52"/>
      <c r="M54" s="52"/>
      <c r="N54" s="52"/>
      <c r="O54" s="52"/>
      <c r="P54" s="52"/>
      <c r="Q54" s="52"/>
      <c r="R54" s="52"/>
      <c r="S54" s="52"/>
      <c r="T54" s="52"/>
      <c r="U54" s="52"/>
      <c r="V54" s="52"/>
      <c r="W54" s="52"/>
      <c r="X54" s="52"/>
      <c r="Y54" s="52"/>
      <c r="Z54" s="52"/>
    </row>
    <row r="55" spans="1:26" ht="16.5" hidden="1" customHeight="1" x14ac:dyDescent="0.35">
      <c r="A55" s="62" t="s">
        <v>271</v>
      </c>
      <c r="B55" s="60" t="s">
        <v>272</v>
      </c>
      <c r="C55" s="50"/>
      <c r="D55" s="67" t="s">
        <v>273</v>
      </c>
      <c r="E55" s="52"/>
      <c r="F55" s="52"/>
      <c r="G55" s="52"/>
      <c r="H55" s="52"/>
      <c r="I55" s="52"/>
      <c r="J55" s="52"/>
      <c r="K55" s="52"/>
      <c r="L55" s="52"/>
      <c r="M55" s="52"/>
      <c r="N55" s="52"/>
      <c r="O55" s="52"/>
      <c r="P55" s="52"/>
      <c r="Q55" s="52"/>
      <c r="R55" s="52"/>
      <c r="S55" s="52"/>
      <c r="T55" s="52"/>
      <c r="U55" s="52"/>
      <c r="V55" s="52"/>
      <c r="W55" s="52"/>
      <c r="X55" s="52"/>
      <c r="Y55" s="52"/>
      <c r="Z55" s="52"/>
    </row>
    <row r="56" spans="1:26" ht="16.5" hidden="1" customHeight="1" x14ac:dyDescent="0.35">
      <c r="A56" s="62" t="s">
        <v>274</v>
      </c>
      <c r="B56" s="60" t="s">
        <v>275</v>
      </c>
      <c r="C56" s="50"/>
      <c r="D56" s="67"/>
      <c r="E56" s="52"/>
      <c r="F56" s="52"/>
      <c r="G56" s="52"/>
      <c r="H56" s="52"/>
      <c r="I56" s="52"/>
      <c r="J56" s="52"/>
      <c r="K56" s="52"/>
      <c r="L56" s="52"/>
      <c r="M56" s="52"/>
      <c r="N56" s="52"/>
      <c r="O56" s="52"/>
      <c r="P56" s="52"/>
      <c r="Q56" s="52"/>
      <c r="R56" s="52"/>
      <c r="S56" s="52"/>
      <c r="T56" s="52"/>
      <c r="U56" s="52"/>
      <c r="V56" s="52"/>
      <c r="W56" s="52"/>
      <c r="X56" s="52"/>
      <c r="Y56" s="52"/>
      <c r="Z56" s="52"/>
    </row>
    <row r="57" spans="1:26" ht="16.5" hidden="1" customHeight="1" x14ac:dyDescent="0.35">
      <c r="A57" s="62" t="s">
        <v>276</v>
      </c>
      <c r="B57" s="60" t="s">
        <v>277</v>
      </c>
      <c r="C57" s="50"/>
      <c r="D57" s="67" t="s">
        <v>278</v>
      </c>
      <c r="E57" s="52"/>
      <c r="F57" s="52"/>
      <c r="G57" s="52"/>
      <c r="H57" s="52"/>
      <c r="I57" s="52"/>
      <c r="J57" s="52"/>
      <c r="K57" s="52"/>
      <c r="L57" s="52"/>
      <c r="M57" s="52"/>
      <c r="N57" s="52"/>
      <c r="O57" s="52"/>
      <c r="P57" s="52"/>
      <c r="Q57" s="52"/>
      <c r="R57" s="52"/>
      <c r="S57" s="52"/>
      <c r="T57" s="52"/>
      <c r="U57" s="52"/>
      <c r="V57" s="52"/>
      <c r="W57" s="52"/>
      <c r="X57" s="52"/>
      <c r="Y57" s="52"/>
      <c r="Z57" s="52"/>
    </row>
    <row r="58" spans="1:26" ht="16.5" hidden="1" customHeight="1" x14ac:dyDescent="0.35">
      <c r="A58" s="62" t="s">
        <v>279</v>
      </c>
      <c r="B58" s="60" t="s">
        <v>280</v>
      </c>
      <c r="C58" s="50"/>
      <c r="D58" s="67" t="s">
        <v>278</v>
      </c>
      <c r="E58" s="52"/>
      <c r="F58" s="52"/>
      <c r="G58" s="52"/>
      <c r="H58" s="52"/>
      <c r="I58" s="52"/>
      <c r="J58" s="52"/>
      <c r="K58" s="52"/>
      <c r="L58" s="52"/>
      <c r="M58" s="52"/>
      <c r="N58" s="52"/>
      <c r="O58" s="52"/>
      <c r="P58" s="52"/>
      <c r="Q58" s="52"/>
      <c r="R58" s="52"/>
      <c r="S58" s="52"/>
      <c r="T58" s="52"/>
      <c r="U58" s="52"/>
      <c r="V58" s="52"/>
      <c r="W58" s="52"/>
      <c r="X58" s="52"/>
      <c r="Y58" s="52"/>
      <c r="Z58" s="52"/>
    </row>
    <row r="59" spans="1:26" ht="16.5" customHeight="1" x14ac:dyDescent="0.35">
      <c r="A59" s="59" t="s">
        <v>281</v>
      </c>
      <c r="B59" s="60"/>
      <c r="C59" s="50"/>
      <c r="D59" s="61"/>
      <c r="E59" s="52"/>
      <c r="F59" s="52"/>
      <c r="G59" s="52"/>
      <c r="H59" s="52"/>
      <c r="I59" s="52"/>
      <c r="J59" s="52"/>
      <c r="K59" s="52"/>
      <c r="L59" s="52"/>
      <c r="M59" s="52"/>
      <c r="N59" s="52"/>
      <c r="O59" s="52"/>
      <c r="P59" s="52"/>
      <c r="Q59" s="52"/>
      <c r="R59" s="52"/>
      <c r="S59" s="52"/>
      <c r="T59" s="52"/>
      <c r="U59" s="52"/>
      <c r="V59" s="52"/>
      <c r="W59" s="52"/>
      <c r="X59" s="52"/>
      <c r="Y59" s="52"/>
      <c r="Z59" s="52"/>
    </row>
    <row r="60" spans="1:26" ht="16.5" customHeight="1" x14ac:dyDescent="0.35">
      <c r="A60" s="62" t="s">
        <v>282</v>
      </c>
      <c r="B60" s="60" t="s">
        <v>283</v>
      </c>
      <c r="D60" s="61"/>
      <c r="E60" s="52"/>
      <c r="F60" s="52"/>
      <c r="G60" s="52"/>
      <c r="H60" s="52"/>
      <c r="I60" s="52"/>
      <c r="J60" s="52"/>
      <c r="K60" s="52"/>
      <c r="L60" s="52"/>
      <c r="M60" s="52"/>
      <c r="N60" s="52"/>
      <c r="O60" s="52"/>
      <c r="P60" s="52"/>
      <c r="Q60" s="52"/>
      <c r="R60" s="52"/>
      <c r="S60" s="52"/>
      <c r="T60" s="52"/>
      <c r="U60" s="52"/>
      <c r="V60" s="52"/>
      <c r="W60" s="52"/>
      <c r="X60" s="52"/>
      <c r="Y60" s="52"/>
      <c r="Z60" s="52"/>
    </row>
    <row r="61" spans="1:26" ht="16.5" customHeight="1" x14ac:dyDescent="0.35">
      <c r="A61" s="62" t="s">
        <v>284</v>
      </c>
      <c r="B61" s="60" t="s">
        <v>285</v>
      </c>
      <c r="D61" s="61"/>
      <c r="E61" s="52"/>
      <c r="F61" s="52"/>
      <c r="G61" s="52"/>
      <c r="H61" s="52"/>
      <c r="I61" s="52"/>
      <c r="J61" s="52"/>
      <c r="K61" s="52"/>
      <c r="L61" s="52"/>
      <c r="M61" s="52"/>
      <c r="N61" s="52"/>
      <c r="O61" s="52"/>
      <c r="P61" s="52"/>
      <c r="Q61" s="52"/>
      <c r="R61" s="52"/>
      <c r="S61" s="52"/>
      <c r="T61" s="52"/>
      <c r="U61" s="52"/>
      <c r="V61" s="52"/>
      <c r="W61" s="52"/>
      <c r="X61" s="52"/>
      <c r="Y61" s="52"/>
      <c r="Z61" s="52"/>
    </row>
    <row r="62" spans="1:26" ht="16.5" customHeight="1" x14ac:dyDescent="0.35">
      <c r="A62" s="62" t="s">
        <v>286</v>
      </c>
      <c r="B62" s="60" t="s">
        <v>287</v>
      </c>
      <c r="D62" s="61"/>
      <c r="E62" s="52"/>
      <c r="F62" s="52"/>
      <c r="G62" s="52"/>
      <c r="H62" s="52"/>
      <c r="I62" s="52"/>
      <c r="J62" s="52"/>
      <c r="K62" s="52"/>
      <c r="L62" s="52"/>
      <c r="M62" s="52"/>
      <c r="N62" s="52"/>
      <c r="O62" s="52"/>
      <c r="P62" s="52"/>
      <c r="Q62" s="52"/>
      <c r="R62" s="52"/>
      <c r="S62" s="52"/>
      <c r="T62" s="52"/>
      <c r="U62" s="52"/>
      <c r="V62" s="52"/>
      <c r="W62" s="52"/>
      <c r="X62" s="52"/>
      <c r="Y62" s="52"/>
      <c r="Z62" s="52"/>
    </row>
    <row r="63" spans="1:26" ht="16.5" customHeight="1" x14ac:dyDescent="0.35">
      <c r="A63" s="62" t="s">
        <v>288</v>
      </c>
      <c r="B63" s="60" t="s">
        <v>289</v>
      </c>
      <c r="D63" s="61" t="s">
        <v>290</v>
      </c>
      <c r="E63" s="52"/>
      <c r="F63" s="52"/>
      <c r="G63" s="52"/>
      <c r="H63" s="52"/>
      <c r="I63" s="52"/>
      <c r="J63" s="52"/>
      <c r="K63" s="52"/>
      <c r="L63" s="52"/>
      <c r="M63" s="52"/>
      <c r="N63" s="52"/>
      <c r="O63" s="52"/>
      <c r="P63" s="52"/>
      <c r="Q63" s="52"/>
      <c r="R63" s="52"/>
      <c r="S63" s="52"/>
      <c r="T63" s="52"/>
      <c r="U63" s="52"/>
      <c r="V63" s="52"/>
      <c r="W63" s="52"/>
      <c r="X63" s="52"/>
      <c r="Y63" s="52"/>
      <c r="Z63" s="52"/>
    </row>
    <row r="64" spans="1:26" ht="16.5" customHeight="1" x14ac:dyDescent="0.35">
      <c r="A64" s="62" t="s">
        <v>291</v>
      </c>
      <c r="B64" s="60" t="s">
        <v>292</v>
      </c>
      <c r="D64" s="61" t="s">
        <v>293</v>
      </c>
      <c r="E64" s="52"/>
      <c r="F64" s="52"/>
      <c r="G64" s="52"/>
      <c r="H64" s="52"/>
      <c r="I64" s="52"/>
      <c r="J64" s="52"/>
      <c r="K64" s="52"/>
      <c r="L64" s="52"/>
      <c r="M64" s="52"/>
      <c r="N64" s="52"/>
      <c r="O64" s="52"/>
      <c r="P64" s="52"/>
      <c r="Q64" s="52"/>
      <c r="R64" s="52"/>
      <c r="S64" s="52"/>
      <c r="T64" s="52"/>
      <c r="U64" s="52"/>
      <c r="V64" s="52"/>
      <c r="W64" s="52"/>
      <c r="X64" s="52"/>
      <c r="Y64" s="52"/>
      <c r="Z64" s="52"/>
    </row>
    <row r="65" spans="1:26" ht="16.5" customHeight="1" x14ac:dyDescent="0.35">
      <c r="A65" s="59" t="s">
        <v>294</v>
      </c>
      <c r="B65" s="60" t="s">
        <v>295</v>
      </c>
      <c r="C65" s="50"/>
      <c r="D65" s="67" t="s">
        <v>296</v>
      </c>
      <c r="E65" s="52"/>
      <c r="F65" s="52"/>
      <c r="G65" s="52"/>
      <c r="H65" s="52"/>
      <c r="I65" s="52"/>
      <c r="J65" s="52"/>
      <c r="K65" s="52"/>
      <c r="L65" s="52"/>
      <c r="M65" s="52"/>
      <c r="N65" s="52"/>
      <c r="O65" s="52"/>
      <c r="P65" s="52"/>
      <c r="Q65" s="52"/>
      <c r="R65" s="52"/>
      <c r="S65" s="52"/>
      <c r="T65" s="52"/>
      <c r="U65" s="52"/>
      <c r="V65" s="52"/>
      <c r="W65" s="52"/>
      <c r="X65" s="52"/>
      <c r="Y65" s="52"/>
      <c r="Z65" s="52"/>
    </row>
    <row r="66" spans="1:26" ht="16.5" customHeight="1" x14ac:dyDescent="0.35">
      <c r="A66" s="56"/>
      <c r="B66" s="51"/>
      <c r="C66" s="50"/>
      <c r="D66" s="51"/>
      <c r="E66" s="52"/>
      <c r="F66" s="52"/>
      <c r="G66" s="52"/>
      <c r="H66" s="52"/>
      <c r="I66" s="52"/>
      <c r="J66" s="52"/>
      <c r="K66" s="52"/>
      <c r="L66" s="52"/>
      <c r="M66" s="52"/>
      <c r="N66" s="52"/>
      <c r="O66" s="52"/>
      <c r="P66" s="52"/>
      <c r="Q66" s="52"/>
      <c r="R66" s="52"/>
      <c r="S66" s="52"/>
      <c r="T66" s="52"/>
      <c r="U66" s="52"/>
      <c r="V66" s="52"/>
      <c r="W66" s="52"/>
      <c r="X66" s="52"/>
      <c r="Y66" s="52"/>
      <c r="Z66" s="52"/>
    </row>
    <row r="67" spans="1:26" ht="16.5" customHeight="1" x14ac:dyDescent="0.35">
      <c r="A67" s="56"/>
      <c r="B67" s="51"/>
      <c r="C67" s="50"/>
      <c r="D67" s="51"/>
      <c r="E67" s="52"/>
      <c r="F67" s="52"/>
      <c r="G67" s="52"/>
      <c r="H67" s="52"/>
      <c r="I67" s="52"/>
      <c r="J67" s="52"/>
      <c r="K67" s="52"/>
      <c r="L67" s="52"/>
      <c r="M67" s="52"/>
      <c r="N67" s="52"/>
      <c r="O67" s="52"/>
      <c r="P67" s="52"/>
      <c r="Q67" s="52"/>
      <c r="R67" s="52"/>
      <c r="S67" s="52"/>
      <c r="T67" s="52"/>
      <c r="U67" s="52"/>
      <c r="V67" s="52"/>
      <c r="W67" s="52"/>
      <c r="X67" s="52"/>
      <c r="Y67" s="52"/>
      <c r="Z67" s="52"/>
    </row>
    <row r="68" spans="1:26" ht="16.5" customHeight="1" x14ac:dyDescent="0.35">
      <c r="A68" s="56"/>
      <c r="B68" s="51"/>
      <c r="C68" s="50"/>
      <c r="D68" s="51"/>
      <c r="E68" s="52"/>
      <c r="F68" s="52"/>
      <c r="G68" s="52"/>
      <c r="H68" s="52"/>
      <c r="I68" s="52"/>
      <c r="J68" s="52"/>
      <c r="K68" s="52"/>
      <c r="L68" s="52"/>
      <c r="M68" s="52"/>
      <c r="N68" s="52"/>
      <c r="O68" s="52"/>
      <c r="P68" s="52"/>
      <c r="Q68" s="52"/>
      <c r="R68" s="52"/>
      <c r="S68" s="52"/>
      <c r="T68" s="52"/>
      <c r="U68" s="52"/>
      <c r="V68" s="52"/>
      <c r="W68" s="52"/>
      <c r="X68" s="52"/>
      <c r="Y68" s="52"/>
      <c r="Z68" s="52"/>
    </row>
    <row r="69" spans="1:26" ht="16.5" customHeight="1" x14ac:dyDescent="0.35">
      <c r="A69" s="56"/>
      <c r="B69" s="51"/>
      <c r="C69" s="50"/>
      <c r="D69" s="51"/>
      <c r="E69" s="52"/>
      <c r="F69" s="52"/>
      <c r="G69" s="52"/>
      <c r="H69" s="52"/>
      <c r="I69" s="52"/>
      <c r="J69" s="52"/>
      <c r="K69" s="52"/>
      <c r="L69" s="52"/>
      <c r="M69" s="52"/>
      <c r="N69" s="52"/>
      <c r="O69" s="52"/>
      <c r="P69" s="52"/>
      <c r="Q69" s="52"/>
      <c r="R69" s="52"/>
      <c r="S69" s="52"/>
      <c r="T69" s="52"/>
      <c r="U69" s="52"/>
      <c r="V69" s="52"/>
      <c r="W69" s="52"/>
      <c r="X69" s="52"/>
      <c r="Y69" s="52"/>
      <c r="Z69" s="52"/>
    </row>
    <row r="70" spans="1:26" ht="16.5" customHeight="1" x14ac:dyDescent="0.35">
      <c r="A70" s="56"/>
      <c r="B70" s="51"/>
      <c r="C70" s="50"/>
      <c r="D70" s="51"/>
      <c r="E70" s="52"/>
      <c r="F70" s="52"/>
      <c r="G70" s="52"/>
      <c r="H70" s="52"/>
      <c r="I70" s="52"/>
      <c r="J70" s="52"/>
      <c r="K70" s="52"/>
      <c r="L70" s="52"/>
      <c r="M70" s="52"/>
      <c r="N70" s="52"/>
      <c r="O70" s="52"/>
      <c r="P70" s="52"/>
      <c r="Q70" s="52"/>
      <c r="R70" s="52"/>
      <c r="S70" s="52"/>
      <c r="T70" s="52"/>
      <c r="U70" s="52"/>
      <c r="V70" s="52"/>
      <c r="W70" s="52"/>
      <c r="X70" s="52"/>
      <c r="Y70" s="52"/>
      <c r="Z70" s="52"/>
    </row>
    <row r="71" spans="1:26" ht="16.5" customHeight="1" x14ac:dyDescent="0.35">
      <c r="A71" s="56"/>
      <c r="B71" s="51"/>
      <c r="C71" s="50"/>
      <c r="D71" s="51"/>
      <c r="E71" s="52"/>
      <c r="F71" s="52"/>
      <c r="G71" s="52"/>
      <c r="H71" s="52"/>
      <c r="I71" s="52"/>
      <c r="J71" s="52"/>
      <c r="K71" s="52"/>
      <c r="L71" s="52"/>
      <c r="M71" s="52"/>
      <c r="N71" s="52"/>
      <c r="O71" s="52"/>
      <c r="P71" s="52"/>
      <c r="Q71" s="52"/>
      <c r="R71" s="52"/>
      <c r="S71" s="52"/>
      <c r="T71" s="52"/>
      <c r="U71" s="52"/>
      <c r="V71" s="52"/>
      <c r="W71" s="52"/>
      <c r="X71" s="52"/>
      <c r="Y71" s="52"/>
      <c r="Z71" s="52"/>
    </row>
    <row r="72" spans="1:26" ht="16.5" customHeight="1" x14ac:dyDescent="0.35">
      <c r="A72" s="56"/>
      <c r="B72" s="51"/>
      <c r="C72" s="50"/>
      <c r="D72" s="51"/>
      <c r="E72" s="52"/>
      <c r="F72" s="52"/>
      <c r="G72" s="52"/>
      <c r="H72" s="52"/>
      <c r="I72" s="52"/>
      <c r="J72" s="52"/>
      <c r="K72" s="52"/>
      <c r="L72" s="52"/>
      <c r="M72" s="52"/>
      <c r="N72" s="52"/>
      <c r="O72" s="52"/>
      <c r="P72" s="52"/>
      <c r="Q72" s="52"/>
      <c r="R72" s="52"/>
      <c r="S72" s="52"/>
      <c r="T72" s="52"/>
      <c r="U72" s="52"/>
      <c r="V72" s="52"/>
      <c r="W72" s="52"/>
      <c r="X72" s="52"/>
      <c r="Y72" s="52"/>
      <c r="Z72" s="52"/>
    </row>
    <row r="73" spans="1:26" ht="16.5" customHeight="1" x14ac:dyDescent="0.35">
      <c r="A73" s="56"/>
      <c r="B73" s="51"/>
      <c r="C73" s="50"/>
      <c r="D73" s="51"/>
      <c r="E73" s="52"/>
      <c r="F73" s="52"/>
      <c r="G73" s="52"/>
      <c r="H73" s="52"/>
      <c r="I73" s="52"/>
      <c r="J73" s="52"/>
      <c r="K73" s="52"/>
      <c r="L73" s="52"/>
      <c r="M73" s="52"/>
      <c r="N73" s="52"/>
      <c r="O73" s="52"/>
      <c r="P73" s="52"/>
      <c r="Q73" s="52"/>
      <c r="R73" s="52"/>
      <c r="S73" s="52"/>
      <c r="T73" s="52"/>
      <c r="U73" s="52"/>
      <c r="V73" s="52"/>
      <c r="W73" s="52"/>
      <c r="X73" s="52"/>
      <c r="Y73" s="52"/>
      <c r="Z73" s="52"/>
    </row>
    <row r="74" spans="1:26" ht="16.5" customHeight="1" x14ac:dyDescent="0.35">
      <c r="A74" s="56"/>
      <c r="B74" s="51"/>
      <c r="C74" s="50"/>
      <c r="D74" s="51"/>
      <c r="E74" s="52"/>
      <c r="F74" s="52"/>
      <c r="G74" s="52"/>
      <c r="H74" s="52"/>
      <c r="I74" s="52"/>
      <c r="J74" s="52"/>
      <c r="K74" s="52"/>
      <c r="L74" s="52"/>
      <c r="M74" s="52"/>
      <c r="N74" s="52"/>
      <c r="O74" s="52"/>
      <c r="P74" s="52"/>
      <c r="Q74" s="52"/>
      <c r="R74" s="52"/>
      <c r="S74" s="52"/>
      <c r="T74" s="52"/>
      <c r="U74" s="52"/>
      <c r="V74" s="52"/>
      <c r="W74" s="52"/>
      <c r="X74" s="52"/>
      <c r="Y74" s="52"/>
      <c r="Z74" s="52"/>
    </row>
    <row r="75" spans="1:26" ht="16.5" customHeight="1" x14ac:dyDescent="0.35">
      <c r="A75" s="56"/>
      <c r="B75" s="51"/>
      <c r="C75" s="50"/>
      <c r="D75" s="51"/>
      <c r="E75" s="52"/>
      <c r="F75" s="52"/>
      <c r="G75" s="52"/>
      <c r="H75" s="52"/>
      <c r="I75" s="52"/>
      <c r="J75" s="52"/>
      <c r="K75" s="52"/>
      <c r="L75" s="52"/>
      <c r="M75" s="52"/>
      <c r="N75" s="52"/>
      <c r="O75" s="52"/>
      <c r="P75" s="52"/>
      <c r="Q75" s="52"/>
      <c r="R75" s="52"/>
      <c r="S75" s="52"/>
      <c r="T75" s="52"/>
      <c r="U75" s="52"/>
      <c r="V75" s="52"/>
      <c r="W75" s="52"/>
      <c r="X75" s="52"/>
      <c r="Y75" s="52"/>
      <c r="Z75" s="52"/>
    </row>
    <row r="76" spans="1:26" ht="16.5" customHeight="1" x14ac:dyDescent="0.35">
      <c r="A76" s="56"/>
      <c r="B76" s="51"/>
      <c r="C76" s="50"/>
      <c r="D76" s="51"/>
      <c r="E76" s="52"/>
      <c r="F76" s="52"/>
      <c r="G76" s="52"/>
      <c r="H76" s="52"/>
      <c r="I76" s="52"/>
      <c r="J76" s="52"/>
      <c r="K76" s="52"/>
      <c r="L76" s="52"/>
      <c r="M76" s="52"/>
      <c r="N76" s="52"/>
      <c r="O76" s="52"/>
      <c r="P76" s="52"/>
      <c r="Q76" s="52"/>
      <c r="R76" s="52"/>
      <c r="S76" s="52"/>
      <c r="T76" s="52"/>
      <c r="U76" s="52"/>
      <c r="V76" s="52"/>
      <c r="W76" s="52"/>
      <c r="X76" s="52"/>
      <c r="Y76" s="52"/>
      <c r="Z76" s="52"/>
    </row>
    <row r="77" spans="1:26" ht="16.5" customHeight="1" x14ac:dyDescent="0.35">
      <c r="A77" s="56"/>
      <c r="B77" s="51"/>
      <c r="C77" s="50"/>
      <c r="D77" s="51"/>
      <c r="E77" s="52"/>
      <c r="F77" s="52"/>
      <c r="G77" s="52"/>
      <c r="H77" s="52"/>
      <c r="I77" s="52"/>
      <c r="J77" s="52"/>
      <c r="K77" s="52"/>
      <c r="L77" s="52"/>
      <c r="M77" s="52"/>
      <c r="N77" s="52"/>
      <c r="O77" s="52"/>
      <c r="P77" s="52"/>
      <c r="Q77" s="52"/>
      <c r="R77" s="52"/>
      <c r="S77" s="52"/>
      <c r="T77" s="52"/>
      <c r="U77" s="52"/>
      <c r="V77" s="52"/>
      <c r="W77" s="52"/>
      <c r="X77" s="52"/>
      <c r="Y77" s="52"/>
      <c r="Z77" s="52"/>
    </row>
    <row r="78" spans="1:26" ht="16.5" customHeight="1" x14ac:dyDescent="0.35">
      <c r="A78" s="56"/>
      <c r="B78" s="51"/>
      <c r="C78" s="50"/>
      <c r="D78" s="51"/>
      <c r="E78" s="52"/>
      <c r="F78" s="52"/>
      <c r="G78" s="52"/>
      <c r="H78" s="52"/>
      <c r="I78" s="52"/>
      <c r="J78" s="52"/>
      <c r="K78" s="52"/>
      <c r="L78" s="52"/>
      <c r="M78" s="52"/>
      <c r="N78" s="52"/>
      <c r="O78" s="52"/>
      <c r="P78" s="52"/>
      <c r="Q78" s="52"/>
      <c r="R78" s="52"/>
      <c r="S78" s="52"/>
      <c r="T78" s="52"/>
      <c r="U78" s="52"/>
      <c r="V78" s="52"/>
      <c r="W78" s="52"/>
      <c r="X78" s="52"/>
      <c r="Y78" s="52"/>
      <c r="Z78" s="52"/>
    </row>
    <row r="79" spans="1:26" ht="16.5" customHeight="1" x14ac:dyDescent="0.35">
      <c r="A79" s="56"/>
      <c r="B79" s="51"/>
      <c r="C79" s="50"/>
      <c r="D79" s="51"/>
      <c r="E79" s="52"/>
      <c r="F79" s="52"/>
      <c r="G79" s="52"/>
      <c r="H79" s="52"/>
      <c r="I79" s="52"/>
      <c r="J79" s="52"/>
      <c r="K79" s="52"/>
      <c r="L79" s="52"/>
      <c r="M79" s="52"/>
      <c r="N79" s="52"/>
      <c r="O79" s="52"/>
      <c r="P79" s="52"/>
      <c r="Q79" s="52"/>
      <c r="R79" s="52"/>
      <c r="S79" s="52"/>
      <c r="T79" s="52"/>
      <c r="U79" s="52"/>
      <c r="V79" s="52"/>
      <c r="W79" s="52"/>
      <c r="X79" s="52"/>
      <c r="Y79" s="52"/>
      <c r="Z79" s="52"/>
    </row>
    <row r="80" spans="1:26" ht="16.5" customHeight="1" x14ac:dyDescent="0.35">
      <c r="A80" s="56"/>
      <c r="B80" s="51"/>
      <c r="C80" s="50"/>
      <c r="D80" s="51"/>
      <c r="E80" s="52"/>
      <c r="F80" s="52"/>
      <c r="G80" s="52"/>
      <c r="H80" s="52"/>
      <c r="I80" s="52"/>
      <c r="J80" s="52"/>
      <c r="K80" s="52"/>
      <c r="L80" s="52"/>
      <c r="M80" s="52"/>
      <c r="N80" s="52"/>
      <c r="O80" s="52"/>
      <c r="P80" s="52"/>
      <c r="Q80" s="52"/>
      <c r="R80" s="52"/>
      <c r="S80" s="52"/>
      <c r="T80" s="52"/>
      <c r="U80" s="52"/>
      <c r="V80" s="52"/>
      <c r="W80" s="52"/>
      <c r="X80" s="52"/>
      <c r="Y80" s="52"/>
      <c r="Z80" s="52"/>
    </row>
    <row r="81" spans="1:26" ht="16.5" customHeight="1" x14ac:dyDescent="0.35">
      <c r="A81" s="56"/>
      <c r="B81" s="51"/>
      <c r="C81" s="50"/>
      <c r="D81" s="51"/>
      <c r="E81" s="52"/>
      <c r="F81" s="52"/>
      <c r="G81" s="52"/>
      <c r="H81" s="52"/>
      <c r="I81" s="52"/>
      <c r="J81" s="52"/>
      <c r="K81" s="52"/>
      <c r="L81" s="52"/>
      <c r="M81" s="52"/>
      <c r="N81" s="52"/>
      <c r="O81" s="52"/>
      <c r="P81" s="52"/>
      <c r="Q81" s="52"/>
      <c r="R81" s="52"/>
      <c r="S81" s="52"/>
      <c r="T81" s="52"/>
      <c r="U81" s="52"/>
      <c r="V81" s="52"/>
      <c r="W81" s="52"/>
      <c r="X81" s="52"/>
      <c r="Y81" s="52"/>
      <c r="Z81" s="52"/>
    </row>
    <row r="82" spans="1:26" ht="16.5" customHeight="1" x14ac:dyDescent="0.35">
      <c r="A82" s="56"/>
      <c r="B82" s="51"/>
      <c r="C82" s="50"/>
      <c r="D82" s="51"/>
      <c r="E82" s="52"/>
      <c r="F82" s="52"/>
      <c r="G82" s="52"/>
      <c r="H82" s="52"/>
      <c r="I82" s="52"/>
      <c r="J82" s="52"/>
      <c r="K82" s="52"/>
      <c r="L82" s="52"/>
      <c r="M82" s="52"/>
      <c r="N82" s="52"/>
      <c r="O82" s="52"/>
      <c r="P82" s="52"/>
      <c r="Q82" s="52"/>
      <c r="R82" s="52"/>
      <c r="S82" s="52"/>
      <c r="T82" s="52"/>
      <c r="U82" s="52"/>
      <c r="V82" s="52"/>
      <c r="W82" s="52"/>
      <c r="X82" s="52"/>
      <c r="Y82" s="52"/>
      <c r="Z82" s="52"/>
    </row>
    <row r="83" spans="1:26" ht="16.5" customHeight="1" x14ac:dyDescent="0.35">
      <c r="A83" s="56"/>
      <c r="B83" s="51"/>
      <c r="C83" s="50"/>
      <c r="D83" s="51"/>
      <c r="E83" s="52"/>
      <c r="F83" s="52"/>
      <c r="G83" s="52"/>
      <c r="H83" s="52"/>
      <c r="I83" s="52"/>
      <c r="J83" s="52"/>
      <c r="K83" s="52"/>
      <c r="L83" s="52"/>
      <c r="M83" s="52"/>
      <c r="N83" s="52"/>
      <c r="O83" s="52"/>
      <c r="P83" s="52"/>
      <c r="Q83" s="52"/>
      <c r="R83" s="52"/>
      <c r="S83" s="52"/>
      <c r="T83" s="52"/>
      <c r="U83" s="52"/>
      <c r="V83" s="52"/>
      <c r="W83" s="52"/>
      <c r="X83" s="52"/>
      <c r="Y83" s="52"/>
      <c r="Z83" s="52"/>
    </row>
    <row r="84" spans="1:26" ht="16.5" customHeight="1" x14ac:dyDescent="0.35">
      <c r="A84" s="56"/>
      <c r="B84" s="51"/>
      <c r="C84" s="50"/>
      <c r="D84" s="51"/>
      <c r="E84" s="52"/>
      <c r="F84" s="52"/>
      <c r="G84" s="52"/>
      <c r="H84" s="52"/>
      <c r="I84" s="52"/>
      <c r="J84" s="52"/>
      <c r="K84" s="52"/>
      <c r="L84" s="52"/>
      <c r="M84" s="52"/>
      <c r="N84" s="52"/>
      <c r="O84" s="52"/>
      <c r="P84" s="52"/>
      <c r="Q84" s="52"/>
      <c r="R84" s="52"/>
      <c r="S84" s="52"/>
      <c r="T84" s="52"/>
      <c r="U84" s="52"/>
      <c r="V84" s="52"/>
      <c r="W84" s="52"/>
      <c r="X84" s="52"/>
      <c r="Y84" s="52"/>
      <c r="Z84" s="52"/>
    </row>
    <row r="85" spans="1:26" ht="16.5" customHeight="1" x14ac:dyDescent="0.35">
      <c r="A85" s="56"/>
      <c r="B85" s="51"/>
      <c r="C85" s="50"/>
      <c r="D85" s="51"/>
      <c r="E85" s="52"/>
      <c r="F85" s="52"/>
      <c r="G85" s="52"/>
      <c r="H85" s="52"/>
      <c r="I85" s="52"/>
      <c r="J85" s="52"/>
      <c r="K85" s="52"/>
      <c r="L85" s="52"/>
      <c r="M85" s="52"/>
      <c r="N85" s="52"/>
      <c r="O85" s="52"/>
      <c r="P85" s="52"/>
      <c r="Q85" s="52"/>
      <c r="R85" s="52"/>
      <c r="S85" s="52"/>
      <c r="T85" s="52"/>
      <c r="U85" s="52"/>
      <c r="V85" s="52"/>
      <c r="W85" s="52"/>
      <c r="X85" s="52"/>
      <c r="Y85" s="52"/>
      <c r="Z85" s="52"/>
    </row>
    <row r="86" spans="1:26" ht="16.5" customHeight="1" x14ac:dyDescent="0.35">
      <c r="A86" s="56"/>
      <c r="B86" s="51"/>
      <c r="C86" s="50"/>
      <c r="D86" s="51"/>
      <c r="E86" s="52"/>
      <c r="F86" s="52"/>
      <c r="G86" s="52"/>
      <c r="H86" s="52"/>
      <c r="I86" s="52"/>
      <c r="J86" s="52"/>
      <c r="K86" s="52"/>
      <c r="L86" s="52"/>
      <c r="M86" s="52"/>
      <c r="N86" s="52"/>
      <c r="O86" s="52"/>
      <c r="P86" s="52"/>
      <c r="Q86" s="52"/>
      <c r="R86" s="52"/>
      <c r="S86" s="52"/>
      <c r="T86" s="52"/>
      <c r="U86" s="52"/>
      <c r="V86" s="52"/>
      <c r="W86" s="52"/>
      <c r="X86" s="52"/>
      <c r="Y86" s="52"/>
      <c r="Z86" s="52"/>
    </row>
    <row r="87" spans="1:26" ht="16.5" customHeight="1" x14ac:dyDescent="0.35">
      <c r="A87" s="56"/>
      <c r="B87" s="51"/>
      <c r="C87" s="50"/>
      <c r="D87" s="51"/>
      <c r="E87" s="52"/>
      <c r="F87" s="52"/>
      <c r="G87" s="52"/>
      <c r="H87" s="52"/>
      <c r="I87" s="52"/>
      <c r="J87" s="52"/>
      <c r="K87" s="52"/>
      <c r="L87" s="52"/>
      <c r="M87" s="52"/>
      <c r="N87" s="52"/>
      <c r="O87" s="52"/>
      <c r="P87" s="52"/>
      <c r="Q87" s="52"/>
      <c r="R87" s="52"/>
      <c r="S87" s="52"/>
      <c r="T87" s="52"/>
      <c r="U87" s="52"/>
      <c r="V87" s="52"/>
      <c r="W87" s="52"/>
      <c r="X87" s="52"/>
      <c r="Y87" s="52"/>
      <c r="Z87" s="52"/>
    </row>
    <row r="88" spans="1:26" ht="16.5" customHeight="1" x14ac:dyDescent="0.35">
      <c r="A88" s="56"/>
      <c r="B88" s="51"/>
      <c r="C88" s="50"/>
      <c r="D88" s="51"/>
      <c r="E88" s="52"/>
      <c r="F88" s="52"/>
      <c r="G88" s="52"/>
      <c r="H88" s="52"/>
      <c r="I88" s="52"/>
      <c r="J88" s="52"/>
      <c r="K88" s="52"/>
      <c r="L88" s="52"/>
      <c r="M88" s="52"/>
      <c r="N88" s="52"/>
      <c r="O88" s="52"/>
      <c r="P88" s="52"/>
      <c r="Q88" s="52"/>
      <c r="R88" s="52"/>
      <c r="S88" s="52"/>
      <c r="T88" s="52"/>
      <c r="U88" s="52"/>
      <c r="V88" s="52"/>
      <c r="W88" s="52"/>
      <c r="X88" s="52"/>
      <c r="Y88" s="52"/>
      <c r="Z88" s="52"/>
    </row>
    <row r="89" spans="1:26" ht="16.5" customHeight="1" x14ac:dyDescent="0.35">
      <c r="A89" s="56"/>
      <c r="B89" s="51"/>
      <c r="C89" s="50"/>
      <c r="D89" s="51"/>
      <c r="E89" s="52"/>
      <c r="F89" s="52"/>
      <c r="G89" s="52"/>
      <c r="H89" s="52"/>
      <c r="I89" s="52"/>
      <c r="J89" s="52"/>
      <c r="K89" s="52"/>
      <c r="L89" s="52"/>
      <c r="M89" s="52"/>
      <c r="N89" s="52"/>
      <c r="O89" s="52"/>
      <c r="P89" s="52"/>
      <c r="Q89" s="52"/>
      <c r="R89" s="52"/>
      <c r="S89" s="52"/>
      <c r="T89" s="52"/>
      <c r="U89" s="52"/>
      <c r="V89" s="52"/>
      <c r="W89" s="52"/>
      <c r="X89" s="52"/>
      <c r="Y89" s="52"/>
      <c r="Z89" s="52"/>
    </row>
    <row r="90" spans="1:26" ht="16.5" customHeight="1" x14ac:dyDescent="0.35">
      <c r="A90" s="56"/>
      <c r="B90" s="51"/>
      <c r="C90" s="50"/>
      <c r="D90" s="51"/>
      <c r="E90" s="52"/>
      <c r="F90" s="52"/>
      <c r="G90" s="52"/>
      <c r="H90" s="52"/>
      <c r="I90" s="52"/>
      <c r="J90" s="52"/>
      <c r="K90" s="52"/>
      <c r="L90" s="52"/>
      <c r="M90" s="52"/>
      <c r="N90" s="52"/>
      <c r="O90" s="52"/>
      <c r="P90" s="52"/>
      <c r="Q90" s="52"/>
      <c r="R90" s="52"/>
      <c r="S90" s="52"/>
      <c r="T90" s="52"/>
      <c r="U90" s="52"/>
      <c r="V90" s="52"/>
      <c r="W90" s="52"/>
      <c r="X90" s="52"/>
      <c r="Y90" s="52"/>
      <c r="Z90" s="52"/>
    </row>
    <row r="91" spans="1:26" ht="16.5" customHeight="1" x14ac:dyDescent="0.35">
      <c r="A91" s="56"/>
      <c r="B91" s="51"/>
      <c r="C91" s="50"/>
      <c r="D91" s="51"/>
      <c r="E91" s="52"/>
      <c r="F91" s="52"/>
      <c r="G91" s="52"/>
      <c r="H91" s="52"/>
      <c r="I91" s="52"/>
      <c r="J91" s="52"/>
      <c r="K91" s="52"/>
      <c r="L91" s="52"/>
      <c r="M91" s="52"/>
      <c r="N91" s="52"/>
      <c r="O91" s="52"/>
      <c r="P91" s="52"/>
      <c r="Q91" s="52"/>
      <c r="R91" s="52"/>
      <c r="S91" s="52"/>
      <c r="T91" s="52"/>
      <c r="U91" s="52"/>
      <c r="V91" s="52"/>
      <c r="W91" s="52"/>
      <c r="X91" s="52"/>
      <c r="Y91" s="52"/>
      <c r="Z91" s="52"/>
    </row>
    <row r="92" spans="1:26" ht="16.5" customHeight="1" x14ac:dyDescent="0.35">
      <c r="A92" s="56"/>
      <c r="B92" s="51"/>
      <c r="C92" s="50"/>
      <c r="D92" s="51"/>
      <c r="E92" s="52"/>
      <c r="F92" s="52"/>
      <c r="G92" s="52"/>
      <c r="H92" s="52"/>
      <c r="I92" s="52"/>
      <c r="J92" s="52"/>
      <c r="K92" s="52"/>
      <c r="L92" s="52"/>
      <c r="M92" s="52"/>
      <c r="N92" s="52"/>
      <c r="O92" s="52"/>
      <c r="P92" s="52"/>
      <c r="Q92" s="52"/>
      <c r="R92" s="52"/>
      <c r="S92" s="52"/>
      <c r="T92" s="52"/>
      <c r="U92" s="52"/>
      <c r="V92" s="52"/>
      <c r="W92" s="52"/>
      <c r="X92" s="52"/>
      <c r="Y92" s="52"/>
      <c r="Z92" s="52"/>
    </row>
    <row r="93" spans="1:26" ht="16.5" customHeight="1" x14ac:dyDescent="0.35">
      <c r="A93" s="56"/>
      <c r="B93" s="51"/>
      <c r="C93" s="50"/>
      <c r="D93" s="51"/>
      <c r="E93" s="52"/>
      <c r="F93" s="52"/>
      <c r="G93" s="52"/>
      <c r="H93" s="52"/>
      <c r="I93" s="52"/>
      <c r="J93" s="52"/>
      <c r="K93" s="52"/>
      <c r="L93" s="52"/>
      <c r="M93" s="52"/>
      <c r="N93" s="52"/>
      <c r="O93" s="52"/>
      <c r="P93" s="52"/>
      <c r="Q93" s="52"/>
      <c r="R93" s="52"/>
      <c r="S93" s="52"/>
      <c r="T93" s="52"/>
      <c r="U93" s="52"/>
      <c r="V93" s="52"/>
      <c r="W93" s="52"/>
      <c r="X93" s="52"/>
      <c r="Y93" s="52"/>
      <c r="Z93" s="52"/>
    </row>
    <row r="94" spans="1:26" ht="16.5" customHeight="1" x14ac:dyDescent="0.35">
      <c r="A94" s="56"/>
      <c r="B94" s="51"/>
      <c r="C94" s="50"/>
      <c r="D94" s="51"/>
      <c r="E94" s="52"/>
      <c r="F94" s="52"/>
      <c r="G94" s="52"/>
      <c r="H94" s="52"/>
      <c r="I94" s="52"/>
      <c r="J94" s="52"/>
      <c r="K94" s="52"/>
      <c r="L94" s="52"/>
      <c r="M94" s="52"/>
      <c r="N94" s="52"/>
      <c r="O94" s="52"/>
      <c r="P94" s="52"/>
      <c r="Q94" s="52"/>
      <c r="R94" s="52"/>
      <c r="S94" s="52"/>
      <c r="T94" s="52"/>
      <c r="U94" s="52"/>
      <c r="V94" s="52"/>
      <c r="W94" s="52"/>
      <c r="X94" s="52"/>
      <c r="Y94" s="52"/>
      <c r="Z94" s="52"/>
    </row>
    <row r="95" spans="1:26" ht="16.5" customHeight="1" x14ac:dyDescent="0.35">
      <c r="A95" s="56"/>
      <c r="B95" s="51"/>
      <c r="C95" s="50"/>
      <c r="D95" s="51"/>
      <c r="E95" s="52"/>
      <c r="F95" s="52"/>
      <c r="G95" s="52"/>
      <c r="H95" s="52"/>
      <c r="I95" s="52"/>
      <c r="J95" s="52"/>
      <c r="K95" s="52"/>
      <c r="L95" s="52"/>
      <c r="M95" s="52"/>
      <c r="N95" s="52"/>
      <c r="O95" s="52"/>
      <c r="P95" s="52"/>
      <c r="Q95" s="52"/>
      <c r="R95" s="52"/>
      <c r="S95" s="52"/>
      <c r="T95" s="52"/>
      <c r="U95" s="52"/>
      <c r="V95" s="52"/>
      <c r="W95" s="52"/>
      <c r="X95" s="52"/>
      <c r="Y95" s="52"/>
      <c r="Z95" s="52"/>
    </row>
    <row r="96" spans="1:26" ht="16.5" customHeight="1" x14ac:dyDescent="0.35">
      <c r="A96" s="56"/>
      <c r="B96" s="51"/>
      <c r="C96" s="50"/>
      <c r="D96" s="51"/>
      <c r="E96" s="52"/>
      <c r="F96" s="52"/>
      <c r="G96" s="52"/>
      <c r="H96" s="52"/>
      <c r="I96" s="52"/>
      <c r="J96" s="52"/>
      <c r="K96" s="52"/>
      <c r="L96" s="52"/>
      <c r="M96" s="52"/>
      <c r="N96" s="52"/>
      <c r="O96" s="52"/>
      <c r="P96" s="52"/>
      <c r="Q96" s="52"/>
      <c r="R96" s="52"/>
      <c r="S96" s="52"/>
      <c r="T96" s="52"/>
      <c r="U96" s="52"/>
      <c r="V96" s="52"/>
      <c r="W96" s="52"/>
      <c r="X96" s="52"/>
      <c r="Y96" s="52"/>
      <c r="Z96" s="52"/>
    </row>
    <row r="97" spans="1:26" ht="16.5" customHeight="1" x14ac:dyDescent="0.35">
      <c r="A97" s="56"/>
      <c r="B97" s="51"/>
      <c r="C97" s="50"/>
      <c r="D97" s="51"/>
      <c r="E97" s="52"/>
      <c r="F97" s="52"/>
      <c r="G97" s="52"/>
      <c r="H97" s="52"/>
      <c r="I97" s="52"/>
      <c r="J97" s="52"/>
      <c r="K97" s="52"/>
      <c r="L97" s="52"/>
      <c r="M97" s="52"/>
      <c r="N97" s="52"/>
      <c r="O97" s="52"/>
      <c r="P97" s="52"/>
      <c r="Q97" s="52"/>
      <c r="R97" s="52"/>
      <c r="S97" s="52"/>
      <c r="T97" s="52"/>
      <c r="U97" s="52"/>
      <c r="V97" s="52"/>
      <c r="W97" s="52"/>
      <c r="X97" s="52"/>
      <c r="Y97" s="52"/>
      <c r="Z97" s="52"/>
    </row>
    <row r="98" spans="1:26" ht="16.5" customHeight="1" x14ac:dyDescent="0.35">
      <c r="A98" s="56"/>
      <c r="B98" s="51"/>
      <c r="C98" s="50"/>
      <c r="D98" s="51"/>
      <c r="E98" s="52"/>
      <c r="F98" s="52"/>
      <c r="G98" s="52"/>
      <c r="H98" s="52"/>
      <c r="I98" s="52"/>
      <c r="J98" s="52"/>
      <c r="K98" s="52"/>
      <c r="L98" s="52"/>
      <c r="M98" s="52"/>
      <c r="N98" s="52"/>
      <c r="O98" s="52"/>
      <c r="P98" s="52"/>
      <c r="Q98" s="52"/>
      <c r="R98" s="52"/>
      <c r="S98" s="52"/>
      <c r="T98" s="52"/>
      <c r="U98" s="52"/>
      <c r="V98" s="52"/>
      <c r="W98" s="52"/>
      <c r="X98" s="52"/>
      <c r="Y98" s="52"/>
      <c r="Z98" s="52"/>
    </row>
    <row r="99" spans="1:26" ht="16.5" customHeight="1" x14ac:dyDescent="0.35">
      <c r="A99" s="56"/>
      <c r="B99" s="51"/>
      <c r="C99" s="50"/>
      <c r="D99" s="51"/>
      <c r="E99" s="52"/>
      <c r="F99" s="52"/>
      <c r="G99" s="52"/>
      <c r="H99" s="52"/>
      <c r="I99" s="52"/>
      <c r="J99" s="52"/>
      <c r="K99" s="52"/>
      <c r="L99" s="52"/>
      <c r="M99" s="52"/>
      <c r="N99" s="52"/>
      <c r="O99" s="52"/>
      <c r="P99" s="52"/>
      <c r="Q99" s="52"/>
      <c r="R99" s="52"/>
      <c r="S99" s="52"/>
      <c r="T99" s="52"/>
      <c r="U99" s="52"/>
      <c r="V99" s="52"/>
      <c r="W99" s="52"/>
      <c r="X99" s="52"/>
      <c r="Y99" s="52"/>
      <c r="Z99" s="52"/>
    </row>
    <row r="100" spans="1:26" ht="16.5" customHeight="1" x14ac:dyDescent="0.35">
      <c r="A100" s="56"/>
      <c r="B100" s="51"/>
      <c r="C100" s="50"/>
      <c r="D100" s="51"/>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6.5" customHeight="1" x14ac:dyDescent="0.35">
      <c r="A101" s="56"/>
      <c r="B101" s="51"/>
      <c r="C101" s="50"/>
      <c r="D101" s="51"/>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6.5" customHeight="1" x14ac:dyDescent="0.35">
      <c r="A102" s="56"/>
      <c r="B102" s="51"/>
      <c r="C102" s="50"/>
      <c r="D102" s="51"/>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6.5" customHeight="1" x14ac:dyDescent="0.35">
      <c r="A103" s="56"/>
      <c r="B103" s="51"/>
      <c r="C103" s="50"/>
      <c r="D103" s="51"/>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6.5" customHeight="1" x14ac:dyDescent="0.35">
      <c r="A104" s="56"/>
      <c r="B104" s="51"/>
      <c r="C104" s="50"/>
      <c r="D104" s="51"/>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6.5" customHeight="1" x14ac:dyDescent="0.35">
      <c r="A105" s="56"/>
      <c r="B105" s="51"/>
      <c r="C105" s="50"/>
      <c r="D105" s="51"/>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6.5" customHeight="1" x14ac:dyDescent="0.35">
      <c r="A106" s="56"/>
      <c r="B106" s="51"/>
      <c r="C106" s="50"/>
      <c r="D106" s="51"/>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6.5" customHeight="1" x14ac:dyDescent="0.35">
      <c r="A107" s="56"/>
      <c r="B107" s="51"/>
      <c r="C107" s="50"/>
      <c r="D107" s="51"/>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6.5" customHeight="1" x14ac:dyDescent="0.35">
      <c r="A108" s="56"/>
      <c r="B108" s="51"/>
      <c r="C108" s="50"/>
      <c r="D108" s="51"/>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6.5" customHeight="1" x14ac:dyDescent="0.35">
      <c r="A109" s="56"/>
      <c r="B109" s="51"/>
      <c r="C109" s="50"/>
      <c r="D109" s="51"/>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6.5" customHeight="1" x14ac:dyDescent="0.35">
      <c r="A110" s="56"/>
      <c r="B110" s="51"/>
      <c r="C110" s="50"/>
      <c r="D110" s="51"/>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6.5" customHeight="1" x14ac:dyDescent="0.35">
      <c r="A111" s="56"/>
      <c r="B111" s="51"/>
      <c r="C111" s="50"/>
      <c r="D111" s="51"/>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6.5" customHeight="1" x14ac:dyDescent="0.35">
      <c r="A112" s="56"/>
      <c r="B112" s="51"/>
      <c r="C112" s="50"/>
      <c r="D112" s="51"/>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6.5" customHeight="1" x14ac:dyDescent="0.35">
      <c r="A113" s="56"/>
      <c r="B113" s="51"/>
      <c r="C113" s="50"/>
      <c r="D113" s="51"/>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6.5" customHeight="1" x14ac:dyDescent="0.35">
      <c r="A114" s="56"/>
      <c r="B114" s="51"/>
      <c r="C114" s="50"/>
      <c r="D114" s="51"/>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6.5" customHeight="1" x14ac:dyDescent="0.35">
      <c r="A115" s="56"/>
      <c r="B115" s="51"/>
      <c r="C115" s="50"/>
      <c r="D115" s="51"/>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6.5" customHeight="1" x14ac:dyDescent="0.35">
      <c r="A116" s="56"/>
      <c r="B116" s="51"/>
      <c r="C116" s="50"/>
      <c r="D116" s="51"/>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6.5" customHeight="1" x14ac:dyDescent="0.35">
      <c r="A117" s="56"/>
      <c r="B117" s="51"/>
      <c r="C117" s="50"/>
      <c r="D117" s="51"/>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6.5" customHeight="1" x14ac:dyDescent="0.35">
      <c r="A118" s="56"/>
      <c r="B118" s="51"/>
      <c r="C118" s="50"/>
      <c r="D118" s="51"/>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6.5" customHeight="1" x14ac:dyDescent="0.35">
      <c r="A119" s="56"/>
      <c r="B119" s="51"/>
      <c r="C119" s="50"/>
      <c r="D119" s="51"/>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6.5" customHeight="1" x14ac:dyDescent="0.35">
      <c r="A120" s="56"/>
      <c r="B120" s="51"/>
      <c r="C120" s="50"/>
      <c r="D120" s="51"/>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6.5" customHeight="1" x14ac:dyDescent="0.35">
      <c r="A121" s="56"/>
      <c r="B121" s="51"/>
      <c r="C121" s="50"/>
      <c r="D121" s="51"/>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6.5" customHeight="1" x14ac:dyDescent="0.35">
      <c r="A122" s="56"/>
      <c r="B122" s="51"/>
      <c r="C122" s="50"/>
      <c r="D122" s="51"/>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6.5" customHeight="1" x14ac:dyDescent="0.35">
      <c r="A123" s="56"/>
      <c r="B123" s="51"/>
      <c r="C123" s="50"/>
      <c r="D123" s="51"/>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6.5" customHeight="1" x14ac:dyDescent="0.35">
      <c r="A124" s="56"/>
      <c r="B124" s="51"/>
      <c r="C124" s="50"/>
      <c r="D124" s="51"/>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6.5" customHeight="1" x14ac:dyDescent="0.35">
      <c r="A125" s="56"/>
      <c r="B125" s="51"/>
      <c r="C125" s="50"/>
      <c r="D125" s="51"/>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6.5" customHeight="1" x14ac:dyDescent="0.35">
      <c r="A126" s="56"/>
      <c r="B126" s="51"/>
      <c r="C126" s="50"/>
      <c r="D126" s="51"/>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6.5" customHeight="1" x14ac:dyDescent="0.35">
      <c r="A127" s="56"/>
      <c r="B127" s="51"/>
      <c r="C127" s="50"/>
      <c r="D127" s="51"/>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6.5" customHeight="1" x14ac:dyDescent="0.35">
      <c r="A128" s="56"/>
      <c r="B128" s="51"/>
      <c r="C128" s="50"/>
      <c r="D128" s="51"/>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6.5" customHeight="1" x14ac:dyDescent="0.35">
      <c r="A129" s="56"/>
      <c r="B129" s="51"/>
      <c r="C129" s="50"/>
      <c r="D129" s="51"/>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6.5" customHeight="1" x14ac:dyDescent="0.35">
      <c r="A130" s="56"/>
      <c r="B130" s="51"/>
      <c r="C130" s="50"/>
      <c r="D130" s="51"/>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6.5" customHeight="1" x14ac:dyDescent="0.35">
      <c r="A131" s="56"/>
      <c r="B131" s="51"/>
      <c r="C131" s="50"/>
      <c r="D131" s="51"/>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6.5" customHeight="1" x14ac:dyDescent="0.35">
      <c r="A132" s="56"/>
      <c r="B132" s="51"/>
      <c r="C132" s="50"/>
      <c r="D132" s="51"/>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6.5" customHeight="1" x14ac:dyDescent="0.35">
      <c r="A133" s="56"/>
      <c r="B133" s="51"/>
      <c r="C133" s="50"/>
      <c r="D133" s="51"/>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6.5" customHeight="1" x14ac:dyDescent="0.35">
      <c r="A134" s="56"/>
      <c r="B134" s="51"/>
      <c r="C134" s="50"/>
      <c r="D134" s="51"/>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6.5" customHeight="1" x14ac:dyDescent="0.35">
      <c r="A135" s="56"/>
      <c r="B135" s="51"/>
      <c r="C135" s="50"/>
      <c r="D135" s="51"/>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6.5" customHeight="1" x14ac:dyDescent="0.35">
      <c r="A136" s="56"/>
      <c r="B136" s="51"/>
      <c r="C136" s="50"/>
      <c r="D136" s="51"/>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6.5" customHeight="1" x14ac:dyDescent="0.35">
      <c r="A137" s="56"/>
      <c r="B137" s="51"/>
      <c r="C137" s="50"/>
      <c r="D137" s="51"/>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6.5" customHeight="1" x14ac:dyDescent="0.35">
      <c r="A138" s="56"/>
      <c r="B138" s="51"/>
      <c r="C138" s="50"/>
      <c r="D138" s="51"/>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6.5" customHeight="1" x14ac:dyDescent="0.35">
      <c r="A139" s="56"/>
      <c r="B139" s="51"/>
      <c r="C139" s="50"/>
      <c r="D139" s="51"/>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6.5" customHeight="1" x14ac:dyDescent="0.35">
      <c r="A140" s="56"/>
      <c r="B140" s="51"/>
      <c r="C140" s="50"/>
      <c r="D140" s="51"/>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6.5" customHeight="1" x14ac:dyDescent="0.35">
      <c r="A141" s="56"/>
      <c r="B141" s="51"/>
      <c r="C141" s="50"/>
      <c r="D141" s="51"/>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6.5" customHeight="1" x14ac:dyDescent="0.35">
      <c r="A142" s="56"/>
      <c r="B142" s="51"/>
      <c r="C142" s="50"/>
      <c r="D142" s="51"/>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6.5" customHeight="1" x14ac:dyDescent="0.35">
      <c r="A143" s="56"/>
      <c r="B143" s="51"/>
      <c r="C143" s="50"/>
      <c r="D143" s="51"/>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6.5" customHeight="1" x14ac:dyDescent="0.35">
      <c r="A144" s="56"/>
      <c r="B144" s="51"/>
      <c r="C144" s="50"/>
      <c r="D144" s="51"/>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6.5" customHeight="1" x14ac:dyDescent="0.35">
      <c r="A145" s="56"/>
      <c r="B145" s="51"/>
      <c r="C145" s="50"/>
      <c r="D145" s="51"/>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6.5" customHeight="1" x14ac:dyDescent="0.35">
      <c r="A146" s="56"/>
      <c r="B146" s="51"/>
      <c r="C146" s="50"/>
      <c r="D146" s="51"/>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6.5" customHeight="1" x14ac:dyDescent="0.35">
      <c r="A147" s="56"/>
      <c r="B147" s="51"/>
      <c r="C147" s="50"/>
      <c r="D147" s="51"/>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6.5" customHeight="1" x14ac:dyDescent="0.35">
      <c r="A148" s="56"/>
      <c r="B148" s="51"/>
      <c r="C148" s="50"/>
      <c r="D148" s="51"/>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6.5" customHeight="1" x14ac:dyDescent="0.35">
      <c r="A149" s="56"/>
      <c r="B149" s="51"/>
      <c r="C149" s="50"/>
      <c r="D149" s="51"/>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6.5" customHeight="1" x14ac:dyDescent="0.35">
      <c r="A150" s="56"/>
      <c r="B150" s="51"/>
      <c r="C150" s="50"/>
      <c r="D150" s="51"/>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6.5" customHeight="1" x14ac:dyDescent="0.35">
      <c r="A151" s="56"/>
      <c r="B151" s="51"/>
      <c r="C151" s="50"/>
      <c r="D151" s="51"/>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6.5" customHeight="1" x14ac:dyDescent="0.35">
      <c r="A152" s="56"/>
      <c r="B152" s="51"/>
      <c r="C152" s="50"/>
      <c r="D152" s="51"/>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6.5" customHeight="1" x14ac:dyDescent="0.35">
      <c r="A153" s="56"/>
      <c r="B153" s="51"/>
      <c r="C153" s="50"/>
      <c r="D153" s="51"/>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6.5" customHeight="1" x14ac:dyDescent="0.35">
      <c r="A154" s="56"/>
      <c r="B154" s="51"/>
      <c r="C154" s="50"/>
      <c r="D154" s="51"/>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6.5" customHeight="1" x14ac:dyDescent="0.35">
      <c r="A155" s="56"/>
      <c r="B155" s="51"/>
      <c r="C155" s="50"/>
      <c r="D155" s="51"/>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6.5" customHeight="1" x14ac:dyDescent="0.35">
      <c r="A156" s="56"/>
      <c r="B156" s="51"/>
      <c r="C156" s="50"/>
      <c r="D156" s="51"/>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6.5" customHeight="1" x14ac:dyDescent="0.35">
      <c r="A157" s="56"/>
      <c r="B157" s="51"/>
      <c r="C157" s="50"/>
      <c r="D157" s="51"/>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6.5" customHeight="1" x14ac:dyDescent="0.35">
      <c r="A158" s="56"/>
      <c r="B158" s="51"/>
      <c r="C158" s="50"/>
      <c r="D158" s="51"/>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6.5" customHeight="1" x14ac:dyDescent="0.35">
      <c r="A159" s="56"/>
      <c r="B159" s="51"/>
      <c r="C159" s="50"/>
      <c r="D159" s="51"/>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6.5" customHeight="1" x14ac:dyDescent="0.35">
      <c r="A160" s="56"/>
      <c r="B160" s="51"/>
      <c r="C160" s="50"/>
      <c r="D160" s="51"/>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6.5" customHeight="1" x14ac:dyDescent="0.35">
      <c r="A161" s="56"/>
      <c r="B161" s="51"/>
      <c r="C161" s="50"/>
      <c r="D161" s="51"/>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6.5" customHeight="1" x14ac:dyDescent="0.35">
      <c r="A162" s="56"/>
      <c r="B162" s="51"/>
      <c r="C162" s="50"/>
      <c r="D162" s="51"/>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6.5" customHeight="1" x14ac:dyDescent="0.35">
      <c r="A163" s="56"/>
      <c r="B163" s="51"/>
      <c r="C163" s="50"/>
      <c r="D163" s="51"/>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6.5" customHeight="1" x14ac:dyDescent="0.35">
      <c r="A164" s="56"/>
      <c r="B164" s="51"/>
      <c r="C164" s="50"/>
      <c r="D164" s="51"/>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6.5" customHeight="1" x14ac:dyDescent="0.35">
      <c r="A165" s="56"/>
      <c r="B165" s="51"/>
      <c r="C165" s="50"/>
      <c r="D165" s="51"/>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6.5" customHeight="1" x14ac:dyDescent="0.35">
      <c r="A166" s="56"/>
      <c r="B166" s="51"/>
      <c r="C166" s="50"/>
      <c r="D166" s="51"/>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6.5" customHeight="1" x14ac:dyDescent="0.35">
      <c r="A167" s="56"/>
      <c r="B167" s="51"/>
      <c r="C167" s="50"/>
      <c r="D167" s="51"/>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6.5" customHeight="1" x14ac:dyDescent="0.35">
      <c r="A168" s="56"/>
      <c r="B168" s="51"/>
      <c r="C168" s="50"/>
      <c r="D168" s="51"/>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6.5" customHeight="1" x14ac:dyDescent="0.35">
      <c r="A169" s="56"/>
      <c r="B169" s="51"/>
      <c r="C169" s="50"/>
      <c r="D169" s="51"/>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6.5" customHeight="1" x14ac:dyDescent="0.35">
      <c r="A170" s="56"/>
      <c r="B170" s="51"/>
      <c r="C170" s="50"/>
      <c r="D170" s="51"/>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6.5" customHeight="1" x14ac:dyDescent="0.35">
      <c r="A171" s="56"/>
      <c r="B171" s="51"/>
      <c r="C171" s="50"/>
      <c r="D171" s="51"/>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6.5" customHeight="1" x14ac:dyDescent="0.35">
      <c r="A172" s="56"/>
      <c r="B172" s="51"/>
      <c r="C172" s="50"/>
      <c r="D172" s="51"/>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6.5" customHeight="1" x14ac:dyDescent="0.35">
      <c r="A173" s="56"/>
      <c r="B173" s="51"/>
      <c r="C173" s="50"/>
      <c r="D173" s="51"/>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6.5" customHeight="1" x14ac:dyDescent="0.35">
      <c r="A174" s="56"/>
      <c r="B174" s="51"/>
      <c r="C174" s="50"/>
      <c r="D174" s="51"/>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6.5" customHeight="1" x14ac:dyDescent="0.35">
      <c r="A175" s="56"/>
      <c r="B175" s="51"/>
      <c r="C175" s="50"/>
      <c r="D175" s="51"/>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6.5" customHeight="1" x14ac:dyDescent="0.35">
      <c r="A176" s="56"/>
      <c r="B176" s="51"/>
      <c r="C176" s="50"/>
      <c r="D176" s="51"/>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6.5" customHeight="1" x14ac:dyDescent="0.35">
      <c r="A177" s="56"/>
      <c r="B177" s="51"/>
      <c r="C177" s="50"/>
      <c r="D177" s="51"/>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6.5" customHeight="1" x14ac:dyDescent="0.35">
      <c r="A178" s="56"/>
      <c r="B178" s="51"/>
      <c r="C178" s="50"/>
      <c r="D178" s="51"/>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6.5" customHeight="1" x14ac:dyDescent="0.35">
      <c r="A179" s="56"/>
      <c r="B179" s="51"/>
      <c r="C179" s="50"/>
      <c r="D179" s="51"/>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6.5" customHeight="1" x14ac:dyDescent="0.35">
      <c r="A180" s="56"/>
      <c r="B180" s="51"/>
      <c r="C180" s="50"/>
      <c r="D180" s="51"/>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6.5" customHeight="1" x14ac:dyDescent="0.35">
      <c r="A181" s="56"/>
      <c r="B181" s="51"/>
      <c r="C181" s="50"/>
      <c r="D181" s="51"/>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6.5" customHeight="1" x14ac:dyDescent="0.35">
      <c r="A182" s="56"/>
      <c r="B182" s="51"/>
      <c r="C182" s="50"/>
      <c r="D182" s="51"/>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6.5" customHeight="1" x14ac:dyDescent="0.35">
      <c r="A183" s="56"/>
      <c r="B183" s="51"/>
      <c r="C183" s="50"/>
      <c r="D183" s="51"/>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6.5" customHeight="1" x14ac:dyDescent="0.35">
      <c r="A184" s="56"/>
      <c r="B184" s="51"/>
      <c r="C184" s="50"/>
      <c r="D184" s="51"/>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6.5" customHeight="1" x14ac:dyDescent="0.35">
      <c r="A185" s="56"/>
      <c r="B185" s="51"/>
      <c r="C185" s="50"/>
      <c r="D185" s="51"/>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6.5" customHeight="1" x14ac:dyDescent="0.35">
      <c r="A186" s="56"/>
      <c r="B186" s="51"/>
      <c r="C186" s="50"/>
      <c r="D186" s="51"/>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6.5" customHeight="1" x14ac:dyDescent="0.35">
      <c r="A187" s="56"/>
      <c r="B187" s="51"/>
      <c r="C187" s="50"/>
      <c r="D187" s="51"/>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6.5" customHeight="1" x14ac:dyDescent="0.35">
      <c r="A188" s="56"/>
      <c r="B188" s="51"/>
      <c r="C188" s="50"/>
      <c r="D188" s="51"/>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6.5" customHeight="1" x14ac:dyDescent="0.35">
      <c r="A189" s="56"/>
      <c r="B189" s="51"/>
      <c r="C189" s="50"/>
      <c r="D189" s="51"/>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6.5" customHeight="1" x14ac:dyDescent="0.35">
      <c r="A190" s="56"/>
      <c r="B190" s="51"/>
      <c r="C190" s="50"/>
      <c r="D190" s="51"/>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6.5" customHeight="1" x14ac:dyDescent="0.35">
      <c r="A191" s="56"/>
      <c r="B191" s="51"/>
      <c r="C191" s="50"/>
      <c r="D191" s="51"/>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6.5" customHeight="1" x14ac:dyDescent="0.35">
      <c r="A192" s="56"/>
      <c r="B192" s="51"/>
      <c r="C192" s="50"/>
      <c r="D192" s="51"/>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6.5" customHeight="1" x14ac:dyDescent="0.35">
      <c r="A193" s="56"/>
      <c r="B193" s="51"/>
      <c r="C193" s="50"/>
      <c r="D193" s="51"/>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6.5" customHeight="1" x14ac:dyDescent="0.35">
      <c r="A194" s="56"/>
      <c r="B194" s="51"/>
      <c r="C194" s="50"/>
      <c r="D194" s="51"/>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6.5" customHeight="1" x14ac:dyDescent="0.35">
      <c r="A195" s="56"/>
      <c r="B195" s="51"/>
      <c r="C195" s="50"/>
      <c r="D195" s="51"/>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6.5" customHeight="1" x14ac:dyDescent="0.35">
      <c r="A196" s="56"/>
      <c r="B196" s="51"/>
      <c r="C196" s="50"/>
      <c r="D196" s="51"/>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6.5" customHeight="1" x14ac:dyDescent="0.35">
      <c r="A197" s="56"/>
      <c r="B197" s="51"/>
      <c r="C197" s="50"/>
      <c r="D197" s="51"/>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6.5" customHeight="1" x14ac:dyDescent="0.35">
      <c r="A198" s="56"/>
      <c r="B198" s="51"/>
      <c r="C198" s="50"/>
      <c r="D198" s="51"/>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6.5" customHeight="1" x14ac:dyDescent="0.35">
      <c r="A199" s="56"/>
      <c r="B199" s="51"/>
      <c r="C199" s="50"/>
      <c r="D199" s="51"/>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6.5" customHeight="1" x14ac:dyDescent="0.35">
      <c r="A200" s="56"/>
      <c r="B200" s="51"/>
      <c r="C200" s="50"/>
      <c r="D200" s="51"/>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6.5" customHeight="1" x14ac:dyDescent="0.35">
      <c r="A201" s="56"/>
      <c r="B201" s="51"/>
      <c r="C201" s="50"/>
      <c r="D201" s="51"/>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6.5" customHeight="1" x14ac:dyDescent="0.35">
      <c r="A202" s="56"/>
      <c r="B202" s="51"/>
      <c r="C202" s="50"/>
      <c r="D202" s="51"/>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6.5" customHeight="1" x14ac:dyDescent="0.35">
      <c r="A203" s="56"/>
      <c r="B203" s="51"/>
      <c r="C203" s="50"/>
      <c r="D203" s="51"/>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6.5" customHeight="1" x14ac:dyDescent="0.35">
      <c r="A204" s="56"/>
      <c r="B204" s="51"/>
      <c r="C204" s="50"/>
      <c r="D204" s="51"/>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6.5" customHeight="1" x14ac:dyDescent="0.35">
      <c r="A205" s="56"/>
      <c r="B205" s="51"/>
      <c r="C205" s="50"/>
      <c r="D205" s="51"/>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6.5" customHeight="1" x14ac:dyDescent="0.35">
      <c r="A206" s="56"/>
      <c r="B206" s="51"/>
      <c r="C206" s="50"/>
      <c r="D206" s="51"/>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6.5" customHeight="1" x14ac:dyDescent="0.35">
      <c r="A207" s="56"/>
      <c r="B207" s="51"/>
      <c r="C207" s="50"/>
      <c r="D207" s="51"/>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6.5" customHeight="1" x14ac:dyDescent="0.35">
      <c r="A208" s="56"/>
      <c r="B208" s="51"/>
      <c r="C208" s="50"/>
      <c r="D208" s="51"/>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6.5" customHeight="1" x14ac:dyDescent="0.35">
      <c r="A209" s="56"/>
      <c r="B209" s="51"/>
      <c r="C209" s="50"/>
      <c r="D209" s="51"/>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6.5" customHeight="1" x14ac:dyDescent="0.35">
      <c r="A210" s="56"/>
      <c r="B210" s="51"/>
      <c r="C210" s="50"/>
      <c r="D210" s="51"/>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6.5" customHeight="1" x14ac:dyDescent="0.35">
      <c r="A211" s="56"/>
      <c r="B211" s="51"/>
      <c r="C211" s="50"/>
      <c r="D211" s="51"/>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6.5" customHeight="1" x14ac:dyDescent="0.35">
      <c r="A212" s="56"/>
      <c r="B212" s="51"/>
      <c r="C212" s="50"/>
      <c r="D212" s="51"/>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6.5" customHeight="1" x14ac:dyDescent="0.35">
      <c r="A213" s="56"/>
      <c r="B213" s="51"/>
      <c r="C213" s="50"/>
      <c r="D213" s="51"/>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6.5" customHeight="1" x14ac:dyDescent="0.35">
      <c r="A214" s="56"/>
      <c r="B214" s="51"/>
      <c r="C214" s="50"/>
      <c r="D214" s="51"/>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6.5" customHeight="1" x14ac:dyDescent="0.35">
      <c r="A215" s="56"/>
      <c r="B215" s="51"/>
      <c r="C215" s="50"/>
      <c r="D215" s="51"/>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6.5" customHeight="1" x14ac:dyDescent="0.35">
      <c r="A216" s="56"/>
      <c r="B216" s="51"/>
      <c r="C216" s="50"/>
      <c r="D216" s="51"/>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6.5" customHeight="1" x14ac:dyDescent="0.35">
      <c r="A217" s="56"/>
      <c r="B217" s="51"/>
      <c r="C217" s="50"/>
      <c r="D217" s="51"/>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6.5" customHeight="1" x14ac:dyDescent="0.35">
      <c r="A218" s="56"/>
      <c r="B218" s="51"/>
      <c r="C218" s="50"/>
      <c r="D218" s="51"/>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6.5" customHeight="1" x14ac:dyDescent="0.35">
      <c r="A219" s="56"/>
      <c r="B219" s="51"/>
      <c r="C219" s="50"/>
      <c r="D219" s="51"/>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6.5" customHeight="1" x14ac:dyDescent="0.35">
      <c r="A220" s="56"/>
      <c r="B220" s="51"/>
      <c r="C220" s="50"/>
      <c r="D220" s="51"/>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6.5" customHeight="1" x14ac:dyDescent="0.35">
      <c r="A221" s="56"/>
      <c r="B221" s="51"/>
      <c r="C221" s="50"/>
      <c r="D221" s="51"/>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6.5" customHeight="1" x14ac:dyDescent="0.35">
      <c r="A222" s="56"/>
      <c r="B222" s="51"/>
      <c r="C222" s="50"/>
      <c r="D222" s="51"/>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6.5" customHeight="1" x14ac:dyDescent="0.35">
      <c r="A223" s="56"/>
      <c r="B223" s="51"/>
      <c r="C223" s="50"/>
      <c r="D223" s="51"/>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6.5" customHeight="1" x14ac:dyDescent="0.35">
      <c r="A224" s="56"/>
      <c r="B224" s="51"/>
      <c r="C224" s="50"/>
      <c r="D224" s="51"/>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6.5" customHeight="1" x14ac:dyDescent="0.35">
      <c r="A225" s="56"/>
      <c r="B225" s="51"/>
      <c r="C225" s="50"/>
      <c r="D225" s="51"/>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6.5" customHeight="1" x14ac:dyDescent="0.35">
      <c r="A226" s="56"/>
      <c r="B226" s="51"/>
      <c r="C226" s="50"/>
      <c r="D226" s="51"/>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6.5" customHeight="1" x14ac:dyDescent="0.35">
      <c r="A227" s="56"/>
      <c r="B227" s="51"/>
      <c r="C227" s="50"/>
      <c r="D227" s="51"/>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6.5" customHeight="1" x14ac:dyDescent="0.35">
      <c r="A228" s="56"/>
      <c r="B228" s="51"/>
      <c r="C228" s="50"/>
      <c r="D228" s="51"/>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6.5" customHeight="1" x14ac:dyDescent="0.35">
      <c r="A229" s="56"/>
      <c r="B229" s="51"/>
      <c r="C229" s="50"/>
      <c r="D229" s="51"/>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6.5" customHeight="1" x14ac:dyDescent="0.35">
      <c r="A230" s="56"/>
      <c r="B230" s="51"/>
      <c r="C230" s="50"/>
      <c r="D230" s="51"/>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6.5" customHeight="1" x14ac:dyDescent="0.35">
      <c r="A231" s="56"/>
      <c r="B231" s="51"/>
      <c r="C231" s="50"/>
      <c r="D231" s="51"/>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6.5" customHeight="1" x14ac:dyDescent="0.35">
      <c r="A232" s="56"/>
      <c r="B232" s="51"/>
      <c r="C232" s="50"/>
      <c r="D232" s="51"/>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6.5" customHeight="1" x14ac:dyDescent="0.35">
      <c r="A233" s="56"/>
      <c r="B233" s="51"/>
      <c r="C233" s="50"/>
      <c r="D233" s="51"/>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6.5" customHeight="1" x14ac:dyDescent="0.35">
      <c r="A234" s="56"/>
      <c r="B234" s="51"/>
      <c r="C234" s="50"/>
      <c r="D234" s="51"/>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6.5" customHeight="1" x14ac:dyDescent="0.35">
      <c r="A235" s="56"/>
      <c r="B235" s="51"/>
      <c r="C235" s="50"/>
      <c r="D235" s="51"/>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6.5" customHeight="1" x14ac:dyDescent="0.35">
      <c r="A236" s="56"/>
      <c r="B236" s="51"/>
      <c r="C236" s="50"/>
      <c r="D236" s="51"/>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6.5" customHeight="1" x14ac:dyDescent="0.35">
      <c r="A237" s="56"/>
      <c r="B237" s="51"/>
      <c r="C237" s="50"/>
      <c r="D237" s="51"/>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6.5" customHeight="1" x14ac:dyDescent="0.35">
      <c r="A238" s="56"/>
      <c r="B238" s="51"/>
      <c r="C238" s="50"/>
      <c r="D238" s="51"/>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6.5" customHeight="1" x14ac:dyDescent="0.35">
      <c r="A239" s="56"/>
      <c r="B239" s="51"/>
      <c r="C239" s="50"/>
      <c r="D239" s="51"/>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6.5" customHeight="1" x14ac:dyDescent="0.35">
      <c r="A240" s="56"/>
      <c r="B240" s="51"/>
      <c r="C240" s="50"/>
      <c r="D240" s="51"/>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6.5" customHeight="1" x14ac:dyDescent="0.35">
      <c r="A241" s="56"/>
      <c r="B241" s="51"/>
      <c r="C241" s="50"/>
      <c r="D241" s="51"/>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6.5" customHeight="1" x14ac:dyDescent="0.35">
      <c r="A242" s="56"/>
      <c r="B242" s="51"/>
      <c r="C242" s="50"/>
      <c r="D242" s="51"/>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6.5" customHeight="1" x14ac:dyDescent="0.35">
      <c r="A243" s="56"/>
      <c r="B243" s="51"/>
      <c r="C243" s="50"/>
      <c r="D243" s="51"/>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6.5" customHeight="1" x14ac:dyDescent="0.35">
      <c r="A244" s="56"/>
      <c r="B244" s="51"/>
      <c r="C244" s="50"/>
      <c r="D244" s="51"/>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6.5" customHeight="1" x14ac:dyDescent="0.35">
      <c r="A245" s="56"/>
      <c r="B245" s="51"/>
      <c r="C245" s="50"/>
      <c r="D245" s="51"/>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6.5" customHeight="1" x14ac:dyDescent="0.35">
      <c r="A246" s="56"/>
      <c r="B246" s="51"/>
      <c r="C246" s="50"/>
      <c r="D246" s="51"/>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6.5" customHeight="1" x14ac:dyDescent="0.35">
      <c r="A247" s="56"/>
      <c r="B247" s="51"/>
      <c r="C247" s="50"/>
      <c r="D247" s="51"/>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6.5" customHeight="1" x14ac:dyDescent="0.35">
      <c r="A248" s="56"/>
      <c r="B248" s="51"/>
      <c r="C248" s="50"/>
      <c r="D248" s="51"/>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6.5" customHeight="1" x14ac:dyDescent="0.35">
      <c r="A249" s="56"/>
      <c r="B249" s="51"/>
      <c r="C249" s="50"/>
      <c r="D249" s="51"/>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6.5" customHeight="1" x14ac:dyDescent="0.35">
      <c r="A250" s="56"/>
      <c r="B250" s="51"/>
      <c r="C250" s="50"/>
      <c r="D250" s="51"/>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6.5" customHeight="1" x14ac:dyDescent="0.35">
      <c r="A251" s="56"/>
      <c r="B251" s="51"/>
      <c r="C251" s="50"/>
      <c r="D251" s="51"/>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6.5" customHeight="1" x14ac:dyDescent="0.35">
      <c r="A252" s="56"/>
      <c r="B252" s="51"/>
      <c r="C252" s="50"/>
      <c r="D252" s="51"/>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6.5" customHeight="1" x14ac:dyDescent="0.35">
      <c r="A253" s="56"/>
      <c r="B253" s="51"/>
      <c r="C253" s="50"/>
      <c r="D253" s="51"/>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6.5" customHeight="1" x14ac:dyDescent="0.35">
      <c r="A254" s="56"/>
      <c r="B254" s="51"/>
      <c r="C254" s="50"/>
      <c r="D254" s="51"/>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6.5" customHeight="1" x14ac:dyDescent="0.35">
      <c r="A255" s="56"/>
      <c r="B255" s="51"/>
      <c r="C255" s="50"/>
      <c r="D255" s="51"/>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6.5" customHeight="1" x14ac:dyDescent="0.35">
      <c r="A256" s="56"/>
      <c r="B256" s="51"/>
      <c r="C256" s="50"/>
      <c r="D256" s="51"/>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6.5" customHeight="1" x14ac:dyDescent="0.35">
      <c r="A257" s="56"/>
      <c r="B257" s="51"/>
      <c r="C257" s="50"/>
      <c r="D257" s="51"/>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6.5" customHeight="1" x14ac:dyDescent="0.35">
      <c r="A258" s="56"/>
      <c r="B258" s="51"/>
      <c r="C258" s="50"/>
      <c r="D258" s="51"/>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6.5" customHeight="1" x14ac:dyDescent="0.35">
      <c r="A259" s="56"/>
      <c r="B259" s="51"/>
      <c r="C259" s="50"/>
      <c r="D259" s="51"/>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6.5" customHeight="1" x14ac:dyDescent="0.35">
      <c r="A260" s="56"/>
      <c r="B260" s="51"/>
      <c r="C260" s="50"/>
      <c r="D260" s="51"/>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6.5" customHeight="1" x14ac:dyDescent="0.35">
      <c r="A261" s="56"/>
      <c r="B261" s="51"/>
      <c r="C261" s="50"/>
      <c r="D261" s="51"/>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6.5" customHeight="1" x14ac:dyDescent="0.35">
      <c r="A262" s="56"/>
      <c r="B262" s="51"/>
      <c r="C262" s="50"/>
      <c r="D262" s="51"/>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6.5" customHeight="1" x14ac:dyDescent="0.35">
      <c r="A263" s="56"/>
      <c r="B263" s="51"/>
      <c r="C263" s="50"/>
      <c r="D263" s="51"/>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6.5" customHeight="1" x14ac:dyDescent="0.35">
      <c r="A264" s="56"/>
      <c r="B264" s="51"/>
      <c r="C264" s="50"/>
      <c r="D264" s="51"/>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6.5" customHeight="1" x14ac:dyDescent="0.35">
      <c r="A265" s="56"/>
      <c r="B265" s="51"/>
      <c r="C265" s="50"/>
      <c r="D265" s="51"/>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5.75" customHeight="1" x14ac:dyDescent="0.35"/>
    <row r="267" spans="1:26" ht="15.75" customHeight="1" x14ac:dyDescent="0.35"/>
    <row r="268" spans="1:26" ht="15.75" customHeight="1" x14ac:dyDescent="0.35"/>
    <row r="269" spans="1:26" ht="15.75" customHeight="1" x14ac:dyDescent="0.35"/>
    <row r="270" spans="1:26" ht="15.75" customHeight="1" x14ac:dyDescent="0.35"/>
    <row r="271" spans="1:26" ht="15.75" customHeight="1" x14ac:dyDescent="0.35"/>
    <row r="272" spans="1:26"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3">
    <mergeCell ref="A1:B1"/>
    <mergeCell ref="A2:B2"/>
    <mergeCell ref="A3:B3"/>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A1:Z1000"/>
  <sheetViews>
    <sheetView workbookViewId="0"/>
  </sheetViews>
  <sheetFormatPr defaultColWidth="14.453125" defaultRowHeight="15" customHeight="1" x14ac:dyDescent="0.35"/>
  <cols>
    <col min="1" max="6" width="26.7265625" customWidth="1"/>
    <col min="7" max="7" width="25.453125" customWidth="1"/>
    <col min="8" max="8" width="21.453125" customWidth="1"/>
    <col min="9" max="26" width="9.08984375" customWidth="1"/>
  </cols>
  <sheetData>
    <row r="1" spans="1:26" ht="16.5" customHeight="1" x14ac:dyDescent="0.35">
      <c r="A1" s="70"/>
      <c r="B1" s="217" t="s">
        <v>297</v>
      </c>
      <c r="C1" s="218"/>
      <c r="D1" s="218"/>
      <c r="E1" s="218"/>
      <c r="F1" s="219"/>
      <c r="G1" s="71"/>
      <c r="H1" s="71"/>
      <c r="I1" s="71"/>
      <c r="J1" s="71"/>
      <c r="K1" s="71"/>
      <c r="L1" s="71"/>
      <c r="M1" s="71"/>
      <c r="N1" s="71"/>
      <c r="O1" s="71"/>
      <c r="P1" s="71"/>
      <c r="Q1" s="71"/>
      <c r="R1" s="71"/>
      <c r="S1" s="71"/>
      <c r="T1" s="71"/>
      <c r="U1" s="71"/>
      <c r="V1" s="71"/>
      <c r="W1" s="71"/>
      <c r="X1" s="71"/>
      <c r="Y1" s="71"/>
      <c r="Z1" s="71"/>
    </row>
    <row r="2" spans="1:26" ht="16.5" customHeight="1" x14ac:dyDescent="0.35">
      <c r="A2" s="72" t="s">
        <v>298</v>
      </c>
      <c r="B2" s="217" t="s">
        <v>299</v>
      </c>
      <c r="C2" s="218"/>
      <c r="D2" s="218"/>
      <c r="E2" s="218"/>
      <c r="F2" s="219"/>
      <c r="G2" s="71"/>
      <c r="H2" s="71"/>
      <c r="I2" s="71"/>
      <c r="J2" s="71"/>
      <c r="K2" s="71"/>
      <c r="L2" s="71"/>
      <c r="M2" s="71"/>
      <c r="N2" s="71"/>
      <c r="O2" s="71"/>
      <c r="P2" s="71"/>
      <c r="Q2" s="71"/>
      <c r="R2" s="71"/>
      <c r="S2" s="71"/>
      <c r="T2" s="71"/>
      <c r="U2" s="71"/>
      <c r="V2" s="71"/>
      <c r="W2" s="71"/>
      <c r="X2" s="71"/>
      <c r="Y2" s="71"/>
      <c r="Z2" s="71"/>
    </row>
    <row r="3" spans="1:26" ht="16.5" customHeight="1" x14ac:dyDescent="0.35">
      <c r="A3" s="73"/>
      <c r="B3" s="72">
        <v>-1</v>
      </c>
      <c r="C3" s="72">
        <v>-2</v>
      </c>
      <c r="D3" s="72">
        <v>-3</v>
      </c>
      <c r="E3" s="72">
        <v>-4</v>
      </c>
      <c r="F3" s="72">
        <v>-5</v>
      </c>
    </row>
    <row r="4" spans="1:26" ht="16.5" customHeight="1" x14ac:dyDescent="0.35">
      <c r="A4" s="73"/>
      <c r="B4" s="72" t="s">
        <v>300</v>
      </c>
      <c r="C4" s="72" t="s">
        <v>301</v>
      </c>
      <c r="D4" s="72" t="s">
        <v>302</v>
      </c>
      <c r="E4" s="72" t="s">
        <v>303</v>
      </c>
      <c r="F4" s="72" t="s">
        <v>304</v>
      </c>
    </row>
    <row r="5" spans="1:26" ht="16.5" customHeight="1" x14ac:dyDescent="0.35">
      <c r="A5" s="72" t="s">
        <v>305</v>
      </c>
      <c r="B5" s="74" t="s">
        <v>306</v>
      </c>
      <c r="C5" s="75" t="s">
        <v>307</v>
      </c>
      <c r="D5" s="76" t="s">
        <v>308</v>
      </c>
      <c r="E5" s="77" t="s">
        <v>309</v>
      </c>
      <c r="F5" s="78" t="s">
        <v>310</v>
      </c>
    </row>
    <row r="6" spans="1:26" ht="16.5" customHeight="1" x14ac:dyDescent="0.35">
      <c r="A6" s="79" t="s">
        <v>311</v>
      </c>
      <c r="B6" s="80" t="s">
        <v>312</v>
      </c>
      <c r="C6" s="81" t="s">
        <v>313</v>
      </c>
      <c r="D6" s="82" t="s">
        <v>314</v>
      </c>
      <c r="E6" s="83" t="s">
        <v>315</v>
      </c>
      <c r="F6" s="84" t="s">
        <v>316</v>
      </c>
    </row>
    <row r="7" spans="1:26" ht="16.5" customHeight="1" x14ac:dyDescent="0.35">
      <c r="A7" s="85" t="s">
        <v>317</v>
      </c>
      <c r="B7" s="86" t="s">
        <v>318</v>
      </c>
      <c r="C7" s="87" t="s">
        <v>319</v>
      </c>
      <c r="D7" s="88" t="s">
        <v>320</v>
      </c>
      <c r="E7" s="89" t="s">
        <v>321</v>
      </c>
      <c r="F7" s="90" t="s">
        <v>322</v>
      </c>
    </row>
    <row r="8" spans="1:26" ht="16.5" customHeight="1" x14ac:dyDescent="0.35">
      <c r="A8" s="91"/>
      <c r="B8" s="92"/>
      <c r="C8" s="92"/>
      <c r="D8" s="92"/>
      <c r="E8" s="92"/>
      <c r="F8" s="92"/>
    </row>
    <row r="9" spans="1:26" ht="16.5" hidden="1" customHeight="1" x14ac:dyDescent="0.35">
      <c r="A9" s="72" t="s">
        <v>298</v>
      </c>
      <c r="B9" s="220" t="s">
        <v>323</v>
      </c>
      <c r="C9" s="218"/>
      <c r="D9" s="218"/>
      <c r="E9" s="218"/>
      <c r="F9" s="219"/>
    </row>
    <row r="10" spans="1:26" ht="16.5" hidden="1" customHeight="1" x14ac:dyDescent="0.35">
      <c r="A10" s="73"/>
      <c r="B10" s="72">
        <v>-1</v>
      </c>
      <c r="C10" s="72">
        <v>-2</v>
      </c>
      <c r="D10" s="72">
        <v>-3</v>
      </c>
      <c r="E10" s="72">
        <v>-4</v>
      </c>
      <c r="F10" s="72">
        <v>-5</v>
      </c>
    </row>
    <row r="11" spans="1:26" ht="16.5" hidden="1" customHeight="1" x14ac:dyDescent="0.35">
      <c r="A11" s="73"/>
      <c r="B11" s="72" t="s">
        <v>300</v>
      </c>
      <c r="C11" s="72" t="s">
        <v>301</v>
      </c>
      <c r="D11" s="72" t="s">
        <v>302</v>
      </c>
      <c r="E11" s="72" t="s">
        <v>303</v>
      </c>
      <c r="F11" s="72" t="s">
        <v>304</v>
      </c>
    </row>
    <row r="12" spans="1:26" ht="16.5" hidden="1" customHeight="1" x14ac:dyDescent="0.35">
      <c r="A12" s="72" t="s">
        <v>324</v>
      </c>
      <c r="B12" s="93" t="s">
        <v>325</v>
      </c>
      <c r="C12" s="94" t="s">
        <v>326</v>
      </c>
      <c r="D12" s="95" t="s">
        <v>327</v>
      </c>
      <c r="E12" s="96" t="s">
        <v>328</v>
      </c>
      <c r="F12" s="97" t="s">
        <v>329</v>
      </c>
    </row>
    <row r="13" spans="1:26" ht="16.5" hidden="1" customHeight="1" x14ac:dyDescent="0.35">
      <c r="A13" s="72" t="s">
        <v>330</v>
      </c>
      <c r="B13" s="98" t="s">
        <v>331</v>
      </c>
      <c r="C13" s="75" t="s">
        <v>332</v>
      </c>
      <c r="D13" s="76" t="s">
        <v>333</v>
      </c>
      <c r="E13" s="77" t="s">
        <v>334</v>
      </c>
      <c r="F13" s="78" t="s">
        <v>335</v>
      </c>
    </row>
    <row r="14" spans="1:26" ht="16.5" hidden="1" customHeight="1" x14ac:dyDescent="0.35">
      <c r="A14" s="72" t="s">
        <v>336</v>
      </c>
      <c r="B14" s="98" t="s">
        <v>337</v>
      </c>
      <c r="C14" s="75" t="s">
        <v>338</v>
      </c>
      <c r="D14" s="76" t="s">
        <v>339</v>
      </c>
      <c r="E14" s="77" t="s">
        <v>340</v>
      </c>
      <c r="F14" s="78" t="s">
        <v>341</v>
      </c>
    </row>
    <row r="15" spans="1:26" ht="16.5" hidden="1" customHeight="1" x14ac:dyDescent="0.35">
      <c r="A15" s="72" t="s">
        <v>342</v>
      </c>
      <c r="B15" s="98" t="s">
        <v>343</v>
      </c>
      <c r="C15" s="75" t="s">
        <v>344</v>
      </c>
      <c r="D15" s="76" t="s">
        <v>345</v>
      </c>
      <c r="E15" s="77" t="s">
        <v>346</v>
      </c>
      <c r="F15" s="78" t="s">
        <v>347</v>
      </c>
    </row>
    <row r="16" spans="1:26" ht="16.5" customHeight="1" x14ac:dyDescent="0.35">
      <c r="A16" s="73"/>
      <c r="B16" s="99"/>
      <c r="D16" s="73"/>
      <c r="E16" s="73"/>
      <c r="F16" s="73"/>
    </row>
    <row r="17" spans="1:26" ht="16.5" customHeight="1" x14ac:dyDescent="0.35">
      <c r="A17" s="100"/>
      <c r="B17" s="221" t="s">
        <v>348</v>
      </c>
      <c r="C17" s="218"/>
      <c r="D17" s="218"/>
      <c r="E17" s="218"/>
      <c r="F17" s="219"/>
      <c r="G17" s="71"/>
      <c r="H17" s="71"/>
      <c r="I17" s="71"/>
      <c r="J17" s="71"/>
      <c r="K17" s="71"/>
      <c r="L17" s="71"/>
      <c r="M17" s="71"/>
      <c r="N17" s="71"/>
      <c r="O17" s="71"/>
      <c r="P17" s="71"/>
      <c r="Q17" s="71"/>
      <c r="R17" s="71"/>
      <c r="S17" s="71"/>
      <c r="T17" s="71"/>
      <c r="U17" s="71"/>
      <c r="V17" s="71"/>
      <c r="W17" s="71"/>
      <c r="X17" s="71"/>
      <c r="Y17" s="71"/>
      <c r="Z17" s="71"/>
    </row>
    <row r="18" spans="1:26" ht="16.5" customHeight="1" x14ac:dyDescent="0.35">
      <c r="A18" s="72"/>
      <c r="B18" s="72">
        <v>1</v>
      </c>
      <c r="C18" s="72">
        <v>2</v>
      </c>
      <c r="D18" s="72">
        <v>3</v>
      </c>
      <c r="E18" s="72">
        <v>4</v>
      </c>
      <c r="F18" s="72">
        <v>5</v>
      </c>
    </row>
    <row r="19" spans="1:26" ht="16.5" customHeight="1" x14ac:dyDescent="0.35">
      <c r="A19" s="73"/>
      <c r="B19" s="72" t="s">
        <v>300</v>
      </c>
      <c r="C19" s="72" t="s">
        <v>301</v>
      </c>
      <c r="D19" s="72" t="s">
        <v>302</v>
      </c>
      <c r="E19" s="72" t="s">
        <v>303</v>
      </c>
      <c r="F19" s="72" t="s">
        <v>304</v>
      </c>
    </row>
    <row r="20" spans="1:26" ht="16.5" customHeight="1" x14ac:dyDescent="0.35">
      <c r="A20" s="79" t="s">
        <v>349</v>
      </c>
      <c r="B20" s="80" t="str">
        <f>CONCATENATE((1),"-",(B28),"%")</f>
        <v>1-15%</v>
      </c>
      <c r="C20" s="81" t="str">
        <f>CONCATENATE((B28+1),"-",(SUM(B28:C28)),"%")</f>
        <v>16-30%</v>
      </c>
      <c r="D20" s="82" t="str">
        <f>CONCATENATE((SUM(B28:C28)+1),"-",(SUM(B28:D28)),"%")</f>
        <v>31-65%</v>
      </c>
      <c r="E20" s="83" t="str">
        <f>CONCATENATE((SUM(B28:D28)+1),"-",(SUM(B28:E28)),"%")</f>
        <v>66-80%</v>
      </c>
      <c r="F20" s="84" t="str">
        <f>CONCATENATE((SUM(B28:E28)+1),"-",(SUM(B28:F28)-1),"%")</f>
        <v>81-99%</v>
      </c>
    </row>
    <row r="21" spans="1:26" ht="16.5" customHeight="1" x14ac:dyDescent="0.35">
      <c r="A21" s="101" t="s">
        <v>350</v>
      </c>
      <c r="B21" s="99"/>
      <c r="D21" s="73"/>
      <c r="E21" s="73"/>
      <c r="F21" s="73"/>
    </row>
    <row r="22" spans="1:26" ht="16.5" customHeight="1" x14ac:dyDescent="0.35">
      <c r="A22" s="101"/>
      <c r="B22" s="99"/>
      <c r="D22" s="73"/>
      <c r="E22" s="73"/>
      <c r="F22" s="73"/>
    </row>
    <row r="23" spans="1:26" ht="16.5" customHeight="1" x14ac:dyDescent="0.35">
      <c r="A23" s="101"/>
      <c r="B23" s="99"/>
      <c r="D23" s="73"/>
      <c r="E23" s="73"/>
      <c r="F23" s="73"/>
    </row>
    <row r="24" spans="1:26" ht="16.5" customHeight="1" x14ac:dyDescent="0.35">
      <c r="A24" s="101"/>
      <c r="B24" s="99"/>
      <c r="D24" s="73"/>
      <c r="E24" s="73"/>
      <c r="F24" s="73"/>
    </row>
    <row r="25" spans="1:26" ht="16.5" customHeight="1" x14ac:dyDescent="0.35">
      <c r="A25" s="102"/>
      <c r="B25" s="103"/>
      <c r="C25" s="104"/>
      <c r="D25" s="105"/>
      <c r="E25" s="105"/>
      <c r="F25" s="105"/>
      <c r="G25" s="104"/>
      <c r="H25" s="104"/>
    </row>
    <row r="26" spans="1:26" ht="16.5" customHeight="1" x14ac:dyDescent="0.35">
      <c r="A26" s="101"/>
      <c r="B26" s="72">
        <v>1</v>
      </c>
      <c r="C26" s="72">
        <v>2</v>
      </c>
      <c r="D26" s="72">
        <v>3</v>
      </c>
      <c r="E26" s="72">
        <v>4</v>
      </c>
      <c r="F26" s="72">
        <v>5</v>
      </c>
    </row>
    <row r="27" spans="1:26" ht="16.5" customHeight="1" x14ac:dyDescent="0.35">
      <c r="A27" s="73"/>
      <c r="B27" s="72" t="s">
        <v>300</v>
      </c>
      <c r="C27" s="72" t="s">
        <v>301</v>
      </c>
      <c r="D27" s="72" t="s">
        <v>302</v>
      </c>
      <c r="E27" s="72" t="s">
        <v>303</v>
      </c>
      <c r="F27" s="72" t="s">
        <v>304</v>
      </c>
      <c r="G27" s="106" t="s">
        <v>351</v>
      </c>
      <c r="H27" s="107" t="s">
        <v>352</v>
      </c>
    </row>
    <row r="28" spans="1:26" ht="16.5" customHeight="1" x14ac:dyDescent="0.35">
      <c r="A28" s="73" t="s">
        <v>353</v>
      </c>
      <c r="B28" s="73">
        <v>15</v>
      </c>
      <c r="C28" s="73">
        <v>15</v>
      </c>
      <c r="D28" s="73">
        <v>35</v>
      </c>
      <c r="E28" s="73">
        <v>15</v>
      </c>
      <c r="F28" s="73">
        <v>20</v>
      </c>
      <c r="G28" s="73">
        <f>SUM(B28:F28)</f>
        <v>100</v>
      </c>
      <c r="H28" s="73">
        <f>100-G28</f>
        <v>0</v>
      </c>
    </row>
    <row r="29" spans="1:26" ht="16.5" customHeight="1" x14ac:dyDescent="0.35">
      <c r="A29" s="73"/>
      <c r="B29" s="99"/>
      <c r="D29" s="73"/>
      <c r="E29" s="73"/>
      <c r="F29" s="73"/>
    </row>
    <row r="30" spans="1:26" ht="16.5" customHeight="1" x14ac:dyDescent="0.35">
      <c r="A30" s="73"/>
    </row>
    <row r="31" spans="1:26" ht="16.5" customHeight="1" x14ac:dyDescent="0.35">
      <c r="A31" s="73"/>
    </row>
    <row r="32" spans="1:26" ht="16.5" customHeight="1" x14ac:dyDescent="0.35">
      <c r="A32" s="73"/>
    </row>
    <row r="33" spans="1:6" ht="16.5" customHeight="1" x14ac:dyDescent="0.35">
      <c r="A33" s="73"/>
    </row>
    <row r="34" spans="1:6" ht="16.5" customHeight="1" x14ac:dyDescent="0.35">
      <c r="A34" s="73"/>
    </row>
    <row r="35" spans="1:6" ht="16.5" customHeight="1" x14ac:dyDescent="0.35">
      <c r="A35" s="73"/>
    </row>
    <row r="36" spans="1:6" ht="16.5" customHeight="1" x14ac:dyDescent="0.35">
      <c r="A36" s="73"/>
      <c r="B36" s="99"/>
      <c r="D36" s="73"/>
      <c r="E36" s="73"/>
      <c r="F36" s="73"/>
    </row>
    <row r="37" spans="1:6" ht="16.5" customHeight="1" x14ac:dyDescent="0.35">
      <c r="A37" s="73"/>
      <c r="B37" s="99"/>
      <c r="D37" s="73"/>
      <c r="E37" s="73"/>
      <c r="F37" s="73"/>
    </row>
    <row r="38" spans="1:6" ht="16.5" customHeight="1" x14ac:dyDescent="0.35">
      <c r="A38" s="73"/>
      <c r="B38" s="99"/>
      <c r="D38" s="73"/>
      <c r="E38" s="73"/>
      <c r="F38" s="73"/>
    </row>
    <row r="39" spans="1:6" ht="16.5" customHeight="1" x14ac:dyDescent="0.35">
      <c r="A39" s="73"/>
      <c r="B39" s="99"/>
      <c r="D39" s="73"/>
      <c r="E39" s="73"/>
      <c r="F39" s="73"/>
    </row>
    <row r="40" spans="1:6" ht="16.5" customHeight="1" x14ac:dyDescent="0.35">
      <c r="A40" s="73"/>
      <c r="B40" s="99"/>
      <c r="D40" s="73"/>
      <c r="E40" s="73"/>
      <c r="F40" s="73"/>
    </row>
    <row r="41" spans="1:6" ht="16.5" customHeight="1" x14ac:dyDescent="0.35">
      <c r="A41" s="73"/>
      <c r="B41" s="99"/>
      <c r="D41" s="73"/>
      <c r="E41" s="73"/>
      <c r="F41" s="73"/>
    </row>
    <row r="42" spans="1:6" ht="16.5" customHeight="1" x14ac:dyDescent="0.35">
      <c r="A42" s="73"/>
      <c r="B42" s="99"/>
      <c r="D42" s="73"/>
      <c r="E42" s="73"/>
      <c r="F42" s="73"/>
    </row>
    <row r="43" spans="1:6" ht="16.5" customHeight="1" x14ac:dyDescent="0.35">
      <c r="A43" s="73"/>
      <c r="B43" s="99"/>
      <c r="D43" s="73"/>
      <c r="E43" s="73"/>
      <c r="F43" s="73"/>
    </row>
    <row r="44" spans="1:6" ht="16.5" customHeight="1" x14ac:dyDescent="0.35">
      <c r="A44" s="73"/>
      <c r="B44" s="99"/>
      <c r="D44" s="73"/>
      <c r="E44" s="73"/>
      <c r="F44" s="73"/>
    </row>
    <row r="45" spans="1:6" ht="16.5" customHeight="1" x14ac:dyDescent="0.35">
      <c r="A45" s="73"/>
      <c r="B45" s="99"/>
      <c r="D45" s="73"/>
      <c r="E45" s="73"/>
      <c r="F45" s="73"/>
    </row>
    <row r="46" spans="1:6" ht="16.5" customHeight="1" x14ac:dyDescent="0.35">
      <c r="A46" s="73"/>
      <c r="B46" s="99"/>
      <c r="D46" s="73"/>
      <c r="E46" s="73"/>
      <c r="F46" s="73"/>
    </row>
    <row r="47" spans="1:6" ht="16.5" customHeight="1" x14ac:dyDescent="0.35">
      <c r="A47" s="73"/>
      <c r="B47" s="99"/>
      <c r="D47" s="73"/>
      <c r="E47" s="73"/>
      <c r="F47" s="73"/>
    </row>
    <row r="48" spans="1:6" ht="16.5" customHeight="1" x14ac:dyDescent="0.35">
      <c r="A48" s="73"/>
      <c r="B48" s="99"/>
      <c r="D48" s="73"/>
      <c r="E48" s="73"/>
      <c r="F48" s="73"/>
    </row>
    <row r="49" spans="1:6" ht="16.5" customHeight="1" x14ac:dyDescent="0.35">
      <c r="A49" s="73"/>
      <c r="B49" s="99"/>
      <c r="D49" s="73"/>
      <c r="E49" s="73"/>
      <c r="F49" s="73"/>
    </row>
    <row r="50" spans="1:6" ht="16.5" customHeight="1" x14ac:dyDescent="0.35">
      <c r="A50" s="73"/>
      <c r="B50" s="99"/>
      <c r="D50" s="73"/>
      <c r="E50" s="73"/>
      <c r="F50" s="73"/>
    </row>
    <row r="51" spans="1:6" ht="16.5" customHeight="1" x14ac:dyDescent="0.35">
      <c r="A51" s="73"/>
      <c r="B51" s="99"/>
      <c r="D51" s="73"/>
      <c r="E51" s="73"/>
      <c r="F51" s="73"/>
    </row>
    <row r="52" spans="1:6" ht="16.5" customHeight="1" x14ac:dyDescent="0.35">
      <c r="A52" s="73"/>
      <c r="B52" s="99"/>
      <c r="D52" s="73"/>
      <c r="E52" s="73"/>
      <c r="F52" s="73"/>
    </row>
    <row r="53" spans="1:6" ht="16.5" customHeight="1" x14ac:dyDescent="0.35">
      <c r="A53" s="73"/>
      <c r="B53" s="99"/>
      <c r="D53" s="73"/>
      <c r="E53" s="73"/>
      <c r="F53" s="73"/>
    </row>
    <row r="54" spans="1:6" ht="16.5" customHeight="1" x14ac:dyDescent="0.35">
      <c r="A54" s="73"/>
      <c r="B54" s="99"/>
      <c r="D54" s="73"/>
      <c r="E54" s="73"/>
      <c r="F54" s="73"/>
    </row>
    <row r="55" spans="1:6" ht="16.5" customHeight="1" x14ac:dyDescent="0.35">
      <c r="A55" s="73"/>
      <c r="B55" s="99"/>
      <c r="D55" s="73"/>
      <c r="E55" s="73"/>
      <c r="F55" s="73"/>
    </row>
    <row r="56" spans="1:6" ht="16.5" customHeight="1" x14ac:dyDescent="0.35">
      <c r="A56" s="73"/>
      <c r="B56" s="99"/>
      <c r="D56" s="73"/>
      <c r="E56" s="73"/>
      <c r="F56" s="73"/>
    </row>
    <row r="57" spans="1:6" ht="16.5" customHeight="1" x14ac:dyDescent="0.35">
      <c r="A57" s="73"/>
      <c r="B57" s="99"/>
      <c r="D57" s="73"/>
      <c r="E57" s="73"/>
      <c r="F57" s="73"/>
    </row>
    <row r="58" spans="1:6" ht="16.5" customHeight="1" x14ac:dyDescent="0.35">
      <c r="A58" s="73"/>
      <c r="B58" s="99"/>
      <c r="D58" s="73"/>
      <c r="E58" s="73"/>
      <c r="F58" s="73"/>
    </row>
    <row r="59" spans="1:6" ht="16.5" customHeight="1" x14ac:dyDescent="0.35">
      <c r="A59" s="73"/>
      <c r="B59" s="99"/>
      <c r="D59" s="73"/>
      <c r="E59" s="73"/>
      <c r="F59" s="73"/>
    </row>
    <row r="60" spans="1:6" ht="16.5" customHeight="1" x14ac:dyDescent="0.35">
      <c r="A60" s="73"/>
      <c r="B60" s="99"/>
      <c r="D60" s="73"/>
      <c r="E60" s="73"/>
      <c r="F60" s="73"/>
    </row>
    <row r="61" spans="1:6" ht="16.5" customHeight="1" x14ac:dyDescent="0.35">
      <c r="A61" s="73"/>
      <c r="B61" s="99"/>
      <c r="D61" s="73"/>
      <c r="E61" s="73"/>
      <c r="F61" s="73"/>
    </row>
    <row r="62" spans="1:6" ht="16.5" customHeight="1" x14ac:dyDescent="0.35">
      <c r="A62" s="73"/>
      <c r="B62" s="99"/>
      <c r="D62" s="73"/>
      <c r="E62" s="73"/>
      <c r="F62" s="73"/>
    </row>
    <row r="63" spans="1:6" ht="16.5" customHeight="1" x14ac:dyDescent="0.35">
      <c r="A63" s="73"/>
      <c r="B63" s="99"/>
      <c r="D63" s="73"/>
      <c r="E63" s="73"/>
      <c r="F63" s="73"/>
    </row>
    <row r="64" spans="1:6" ht="16.5" customHeight="1" x14ac:dyDescent="0.35">
      <c r="A64" s="73"/>
      <c r="B64" s="99"/>
      <c r="D64" s="73"/>
      <c r="E64" s="73"/>
      <c r="F64" s="73"/>
    </row>
    <row r="65" spans="1:6" ht="16.5" customHeight="1" x14ac:dyDescent="0.35">
      <c r="A65" s="73"/>
      <c r="B65" s="99"/>
      <c r="D65" s="73"/>
      <c r="E65" s="73"/>
      <c r="F65" s="73"/>
    </row>
    <row r="66" spans="1:6" ht="16.5" customHeight="1" x14ac:dyDescent="0.35">
      <c r="A66" s="73"/>
      <c r="B66" s="99"/>
      <c r="D66" s="73"/>
      <c r="E66" s="73"/>
      <c r="F66" s="73"/>
    </row>
    <row r="67" spans="1:6" ht="16.5" customHeight="1" x14ac:dyDescent="0.35">
      <c r="A67" s="73"/>
      <c r="B67" s="99"/>
      <c r="D67" s="73"/>
      <c r="E67" s="73"/>
      <c r="F67" s="73"/>
    </row>
    <row r="68" spans="1:6" ht="16.5" customHeight="1" x14ac:dyDescent="0.35">
      <c r="A68" s="73"/>
      <c r="B68" s="99"/>
      <c r="D68" s="73"/>
      <c r="E68" s="73"/>
      <c r="F68" s="73"/>
    </row>
    <row r="69" spans="1:6" ht="16.5" customHeight="1" x14ac:dyDescent="0.35">
      <c r="A69" s="73"/>
      <c r="B69" s="99"/>
      <c r="D69" s="73"/>
      <c r="E69" s="73"/>
      <c r="F69" s="73"/>
    </row>
    <row r="70" spans="1:6" ht="16.5" customHeight="1" x14ac:dyDescent="0.35">
      <c r="A70" s="73"/>
      <c r="B70" s="99"/>
      <c r="D70" s="73"/>
      <c r="E70" s="73"/>
      <c r="F70" s="73"/>
    </row>
    <row r="71" spans="1:6" ht="16.5" customHeight="1" x14ac:dyDescent="0.35">
      <c r="A71" s="73"/>
      <c r="B71" s="99"/>
      <c r="D71" s="73"/>
      <c r="E71" s="73"/>
      <c r="F71" s="73"/>
    </row>
    <row r="72" spans="1:6" ht="16.5" customHeight="1" x14ac:dyDescent="0.35">
      <c r="A72" s="73"/>
      <c r="B72" s="99"/>
      <c r="D72" s="73"/>
      <c r="E72" s="73"/>
      <c r="F72" s="73"/>
    </row>
    <row r="73" spans="1:6" ht="16.5" customHeight="1" x14ac:dyDescent="0.35">
      <c r="A73" s="73"/>
      <c r="B73" s="99"/>
      <c r="D73" s="73"/>
      <c r="E73" s="73"/>
      <c r="F73" s="73"/>
    </row>
    <row r="74" spans="1:6" ht="16.5" customHeight="1" x14ac:dyDescent="0.35">
      <c r="A74" s="73"/>
      <c r="B74" s="99"/>
      <c r="D74" s="73"/>
      <c r="E74" s="73"/>
      <c r="F74" s="73"/>
    </row>
    <row r="75" spans="1:6" ht="16.5" customHeight="1" x14ac:dyDescent="0.35">
      <c r="A75" s="73"/>
      <c r="B75" s="99"/>
      <c r="D75" s="73"/>
      <c r="E75" s="73"/>
      <c r="F75" s="73"/>
    </row>
    <row r="76" spans="1:6" ht="16.5" customHeight="1" x14ac:dyDescent="0.35">
      <c r="A76" s="73"/>
      <c r="B76" s="99"/>
      <c r="D76" s="73"/>
      <c r="E76" s="73"/>
      <c r="F76" s="73"/>
    </row>
    <row r="77" spans="1:6" ht="16.5" customHeight="1" x14ac:dyDescent="0.35">
      <c r="A77" s="73"/>
      <c r="B77" s="99"/>
      <c r="D77" s="73"/>
      <c r="E77" s="73"/>
      <c r="F77" s="73"/>
    </row>
    <row r="78" spans="1:6" ht="16.5" customHeight="1" x14ac:dyDescent="0.35">
      <c r="A78" s="73"/>
      <c r="B78" s="99"/>
      <c r="D78" s="73"/>
      <c r="E78" s="73"/>
      <c r="F78" s="73"/>
    </row>
    <row r="79" spans="1:6" ht="16.5" customHeight="1" x14ac:dyDescent="0.35">
      <c r="A79" s="73"/>
      <c r="B79" s="99"/>
      <c r="D79" s="73"/>
      <c r="E79" s="73"/>
      <c r="F79" s="73"/>
    </row>
    <row r="80" spans="1:6" ht="16.5" customHeight="1" x14ac:dyDescent="0.35">
      <c r="A80" s="73"/>
      <c r="B80" s="99"/>
      <c r="D80" s="73"/>
      <c r="E80" s="73"/>
      <c r="F80" s="73"/>
    </row>
    <row r="81" spans="1:6" ht="16.5" customHeight="1" x14ac:dyDescent="0.35">
      <c r="A81" s="73"/>
      <c r="B81" s="99"/>
      <c r="D81" s="73"/>
      <c r="E81" s="73"/>
      <c r="F81" s="73"/>
    </row>
    <row r="82" spans="1:6" ht="16.5" customHeight="1" x14ac:dyDescent="0.35">
      <c r="A82" s="73"/>
      <c r="B82" s="99"/>
      <c r="D82" s="73"/>
      <c r="E82" s="73"/>
      <c r="F82" s="73"/>
    </row>
    <row r="83" spans="1:6" ht="16.5" customHeight="1" x14ac:dyDescent="0.35">
      <c r="A83" s="73"/>
      <c r="B83" s="99"/>
      <c r="D83" s="73"/>
      <c r="E83" s="73"/>
      <c r="F83" s="73"/>
    </row>
    <row r="84" spans="1:6" ht="16.5" customHeight="1" x14ac:dyDescent="0.35">
      <c r="A84" s="73"/>
      <c r="B84" s="99"/>
      <c r="D84" s="73"/>
      <c r="E84" s="73"/>
      <c r="F84" s="73"/>
    </row>
    <row r="85" spans="1:6" ht="16.5" customHeight="1" x14ac:dyDescent="0.35">
      <c r="A85" s="73"/>
      <c r="B85" s="99"/>
      <c r="D85" s="73"/>
      <c r="E85" s="73"/>
      <c r="F85" s="73"/>
    </row>
    <row r="86" spans="1:6" ht="16.5" customHeight="1" x14ac:dyDescent="0.35">
      <c r="A86" s="73"/>
      <c r="B86" s="99"/>
      <c r="D86" s="73"/>
      <c r="E86" s="73"/>
      <c r="F86" s="73"/>
    </row>
    <row r="87" spans="1:6" ht="16.5" customHeight="1" x14ac:dyDescent="0.35">
      <c r="A87" s="73"/>
      <c r="B87" s="99"/>
      <c r="D87" s="73"/>
      <c r="E87" s="73"/>
      <c r="F87" s="73"/>
    </row>
    <row r="88" spans="1:6" ht="16.5" customHeight="1" x14ac:dyDescent="0.35">
      <c r="A88" s="73"/>
      <c r="B88" s="99"/>
      <c r="D88" s="73"/>
      <c r="E88" s="73"/>
      <c r="F88" s="73"/>
    </row>
    <row r="89" spans="1:6" ht="16.5" customHeight="1" x14ac:dyDescent="0.35">
      <c r="A89" s="73"/>
      <c r="B89" s="99"/>
      <c r="D89" s="73"/>
      <c r="E89" s="73"/>
      <c r="F89" s="73"/>
    </row>
    <row r="90" spans="1:6" ht="16.5" customHeight="1" x14ac:dyDescent="0.35">
      <c r="A90" s="73"/>
      <c r="B90" s="99"/>
      <c r="D90" s="73"/>
      <c r="E90" s="73"/>
      <c r="F90" s="73"/>
    </row>
    <row r="91" spans="1:6" ht="16.5" customHeight="1" x14ac:dyDescent="0.35">
      <c r="A91" s="73"/>
      <c r="B91" s="99"/>
      <c r="D91" s="73"/>
      <c r="E91" s="73"/>
      <c r="F91" s="73"/>
    </row>
    <row r="92" spans="1:6" ht="16.5" customHeight="1" x14ac:dyDescent="0.35">
      <c r="A92" s="73"/>
      <c r="B92" s="99"/>
      <c r="D92" s="73"/>
      <c r="E92" s="73"/>
      <c r="F92" s="73"/>
    </row>
    <row r="93" spans="1:6" ht="16.5" customHeight="1" x14ac:dyDescent="0.35">
      <c r="A93" s="73"/>
      <c r="B93" s="99"/>
      <c r="D93" s="73"/>
      <c r="E93" s="73"/>
      <c r="F93" s="73"/>
    </row>
    <row r="94" spans="1:6" ht="16.5" customHeight="1" x14ac:dyDescent="0.35">
      <c r="A94" s="73"/>
      <c r="B94" s="99"/>
      <c r="D94" s="73"/>
      <c r="E94" s="73"/>
      <c r="F94" s="73"/>
    </row>
    <row r="95" spans="1:6" ht="16.5" customHeight="1" x14ac:dyDescent="0.35">
      <c r="A95" s="73"/>
      <c r="B95" s="99"/>
      <c r="D95" s="73"/>
      <c r="E95" s="73"/>
      <c r="F95" s="73"/>
    </row>
    <row r="96" spans="1:6" ht="16.5" customHeight="1" x14ac:dyDescent="0.35">
      <c r="A96" s="73"/>
      <c r="B96" s="99"/>
      <c r="D96" s="73"/>
      <c r="E96" s="73"/>
      <c r="F96" s="73"/>
    </row>
    <row r="97" spans="1:6" ht="16.5" customHeight="1" x14ac:dyDescent="0.35">
      <c r="A97" s="73"/>
      <c r="B97" s="99"/>
      <c r="D97" s="73"/>
      <c r="E97" s="73"/>
      <c r="F97" s="73"/>
    </row>
    <row r="98" spans="1:6" ht="16.5" customHeight="1" x14ac:dyDescent="0.35">
      <c r="A98" s="73"/>
      <c r="B98" s="99"/>
      <c r="D98" s="73"/>
      <c r="E98" s="73"/>
      <c r="F98" s="73"/>
    </row>
    <row r="99" spans="1:6" ht="16.5" customHeight="1" x14ac:dyDescent="0.35">
      <c r="A99" s="73"/>
      <c r="B99" s="99"/>
      <c r="D99" s="73"/>
      <c r="E99" s="73"/>
      <c r="F99" s="73"/>
    </row>
    <row r="100" spans="1:6" ht="16.5" customHeight="1" x14ac:dyDescent="0.35">
      <c r="A100" s="73"/>
      <c r="B100" s="99"/>
      <c r="D100" s="73"/>
      <c r="E100" s="73"/>
      <c r="F100" s="73"/>
    </row>
    <row r="101" spans="1:6" ht="16.5" customHeight="1" x14ac:dyDescent="0.35">
      <c r="A101" s="73"/>
      <c r="B101" s="99"/>
      <c r="D101" s="73"/>
      <c r="E101" s="73"/>
      <c r="F101" s="73"/>
    </row>
    <row r="102" spans="1:6" ht="16.5" customHeight="1" x14ac:dyDescent="0.35">
      <c r="A102" s="73"/>
      <c r="B102" s="99"/>
      <c r="D102" s="73"/>
      <c r="E102" s="73"/>
      <c r="F102" s="73"/>
    </row>
    <row r="103" spans="1:6" ht="16.5" customHeight="1" x14ac:dyDescent="0.35">
      <c r="A103" s="73"/>
      <c r="B103" s="99"/>
      <c r="D103" s="73"/>
      <c r="E103" s="73"/>
      <c r="F103" s="73"/>
    </row>
    <row r="104" spans="1:6" ht="16.5" customHeight="1" x14ac:dyDescent="0.35">
      <c r="A104" s="73"/>
      <c r="B104" s="99"/>
      <c r="D104" s="73"/>
      <c r="E104" s="73"/>
      <c r="F104" s="73"/>
    </row>
    <row r="105" spans="1:6" ht="16.5" customHeight="1" x14ac:dyDescent="0.35">
      <c r="A105" s="73"/>
      <c r="B105" s="99"/>
      <c r="D105" s="73"/>
      <c r="E105" s="73"/>
      <c r="F105" s="73"/>
    </row>
    <row r="106" spans="1:6" ht="16.5" customHeight="1" x14ac:dyDescent="0.35">
      <c r="A106" s="73"/>
      <c r="B106" s="99"/>
      <c r="D106" s="73"/>
      <c r="E106" s="73"/>
      <c r="F106" s="73"/>
    </row>
    <row r="107" spans="1:6" ht="16.5" customHeight="1" x14ac:dyDescent="0.35">
      <c r="A107" s="73"/>
      <c r="B107" s="99"/>
      <c r="D107" s="73"/>
      <c r="E107" s="73"/>
      <c r="F107" s="73"/>
    </row>
    <row r="108" spans="1:6" ht="16.5" customHeight="1" x14ac:dyDescent="0.35">
      <c r="A108" s="73"/>
      <c r="B108" s="99"/>
      <c r="D108" s="73"/>
      <c r="E108" s="73"/>
      <c r="F108" s="73"/>
    </row>
    <row r="109" spans="1:6" ht="16.5" customHeight="1" x14ac:dyDescent="0.35">
      <c r="A109" s="73"/>
      <c r="B109" s="99"/>
      <c r="D109" s="73"/>
      <c r="E109" s="73"/>
      <c r="F109" s="73"/>
    </row>
    <row r="110" spans="1:6" ht="16.5" customHeight="1" x14ac:dyDescent="0.35">
      <c r="A110" s="73"/>
      <c r="B110" s="99"/>
      <c r="D110" s="73"/>
      <c r="E110" s="73"/>
      <c r="F110" s="73"/>
    </row>
    <row r="111" spans="1:6" ht="16.5" customHeight="1" x14ac:dyDescent="0.35">
      <c r="A111" s="73"/>
      <c r="B111" s="99"/>
      <c r="D111" s="73"/>
      <c r="E111" s="73"/>
      <c r="F111" s="73"/>
    </row>
    <row r="112" spans="1:6" ht="16.5" customHeight="1" x14ac:dyDescent="0.35">
      <c r="A112" s="73"/>
      <c r="B112" s="99"/>
      <c r="D112" s="73"/>
      <c r="E112" s="73"/>
      <c r="F112" s="73"/>
    </row>
    <row r="113" spans="1:6" ht="16.5" customHeight="1" x14ac:dyDescent="0.35">
      <c r="A113" s="73"/>
      <c r="B113" s="99"/>
      <c r="D113" s="73"/>
      <c r="E113" s="73"/>
      <c r="F113" s="73"/>
    </row>
    <row r="114" spans="1:6" ht="16.5" customHeight="1" x14ac:dyDescent="0.35">
      <c r="A114" s="73"/>
      <c r="B114" s="99"/>
      <c r="D114" s="73"/>
      <c r="E114" s="73"/>
      <c r="F114" s="73"/>
    </row>
    <row r="115" spans="1:6" ht="16.5" customHeight="1" x14ac:dyDescent="0.35">
      <c r="A115" s="73"/>
      <c r="B115" s="99"/>
      <c r="D115" s="73"/>
      <c r="E115" s="73"/>
      <c r="F115" s="73"/>
    </row>
    <row r="116" spans="1:6" ht="16.5" customHeight="1" x14ac:dyDescent="0.35">
      <c r="A116" s="73"/>
      <c r="B116" s="99"/>
      <c r="D116" s="73"/>
      <c r="E116" s="73"/>
      <c r="F116" s="73"/>
    </row>
    <row r="117" spans="1:6" ht="16.5" customHeight="1" x14ac:dyDescent="0.35">
      <c r="A117" s="73"/>
      <c r="B117" s="99"/>
      <c r="D117" s="73"/>
      <c r="E117" s="73"/>
      <c r="F117" s="73"/>
    </row>
    <row r="118" spans="1:6" ht="16.5" customHeight="1" x14ac:dyDescent="0.35">
      <c r="A118" s="73"/>
      <c r="B118" s="99"/>
      <c r="D118" s="73"/>
      <c r="E118" s="73"/>
      <c r="F118" s="73"/>
    </row>
    <row r="119" spans="1:6" ht="16.5" customHeight="1" x14ac:dyDescent="0.35">
      <c r="A119" s="73"/>
      <c r="B119" s="99"/>
      <c r="D119" s="73"/>
      <c r="E119" s="73"/>
      <c r="F119" s="73"/>
    </row>
    <row r="120" spans="1:6" ht="16.5" customHeight="1" x14ac:dyDescent="0.35">
      <c r="A120" s="73"/>
      <c r="B120" s="99"/>
      <c r="D120" s="73"/>
      <c r="E120" s="73"/>
      <c r="F120" s="73"/>
    </row>
    <row r="121" spans="1:6" ht="16.5" customHeight="1" x14ac:dyDescent="0.35">
      <c r="A121" s="73"/>
      <c r="B121" s="99"/>
      <c r="D121" s="73"/>
      <c r="E121" s="73"/>
      <c r="F121" s="73"/>
    </row>
    <row r="122" spans="1:6" ht="16.5" customHeight="1" x14ac:dyDescent="0.35">
      <c r="A122" s="73"/>
      <c r="B122" s="99"/>
      <c r="D122" s="73"/>
      <c r="E122" s="73"/>
      <c r="F122" s="73"/>
    </row>
    <row r="123" spans="1:6" ht="16.5" customHeight="1" x14ac:dyDescent="0.35">
      <c r="A123" s="73"/>
      <c r="B123" s="99"/>
      <c r="D123" s="73"/>
      <c r="E123" s="73"/>
      <c r="F123" s="73"/>
    </row>
    <row r="124" spans="1:6" ht="16.5" customHeight="1" x14ac:dyDescent="0.35">
      <c r="A124" s="73"/>
      <c r="B124" s="99"/>
      <c r="D124" s="73"/>
      <c r="E124" s="73"/>
      <c r="F124" s="73"/>
    </row>
    <row r="125" spans="1:6" ht="16.5" customHeight="1" x14ac:dyDescent="0.35">
      <c r="A125" s="73"/>
      <c r="B125" s="99"/>
      <c r="D125" s="73"/>
      <c r="E125" s="73"/>
      <c r="F125" s="73"/>
    </row>
    <row r="126" spans="1:6" ht="16.5" customHeight="1" x14ac:dyDescent="0.35">
      <c r="A126" s="73"/>
      <c r="B126" s="99"/>
      <c r="D126" s="73"/>
      <c r="E126" s="73"/>
      <c r="F126" s="73"/>
    </row>
    <row r="127" spans="1:6" ht="16.5" customHeight="1" x14ac:dyDescent="0.35">
      <c r="A127" s="73"/>
      <c r="B127" s="99"/>
      <c r="D127" s="73"/>
      <c r="E127" s="73"/>
      <c r="F127" s="73"/>
    </row>
    <row r="128" spans="1:6" ht="16.5" customHeight="1" x14ac:dyDescent="0.35">
      <c r="A128" s="73"/>
      <c r="B128" s="99"/>
      <c r="D128" s="73"/>
      <c r="E128" s="73"/>
      <c r="F128" s="73"/>
    </row>
    <row r="129" spans="1:6" ht="16.5" customHeight="1" x14ac:dyDescent="0.35">
      <c r="A129" s="73"/>
      <c r="B129" s="99"/>
      <c r="D129" s="73"/>
      <c r="E129" s="73"/>
      <c r="F129" s="73"/>
    </row>
    <row r="130" spans="1:6" ht="16.5" customHeight="1" x14ac:dyDescent="0.35">
      <c r="A130" s="73"/>
      <c r="B130" s="99"/>
      <c r="D130" s="73"/>
      <c r="E130" s="73"/>
      <c r="F130" s="73"/>
    </row>
    <row r="131" spans="1:6" ht="16.5" customHeight="1" x14ac:dyDescent="0.35">
      <c r="A131" s="73"/>
      <c r="B131" s="99"/>
      <c r="D131" s="73"/>
      <c r="E131" s="73"/>
      <c r="F131" s="73"/>
    </row>
    <row r="132" spans="1:6" ht="16.5" customHeight="1" x14ac:dyDescent="0.35">
      <c r="A132" s="73"/>
      <c r="B132" s="99"/>
      <c r="D132" s="73"/>
      <c r="E132" s="73"/>
      <c r="F132" s="73"/>
    </row>
    <row r="133" spans="1:6" ht="16.5" customHeight="1" x14ac:dyDescent="0.35">
      <c r="A133" s="73"/>
      <c r="B133" s="99"/>
      <c r="D133" s="73"/>
      <c r="E133" s="73"/>
      <c r="F133" s="73"/>
    </row>
    <row r="134" spans="1:6" ht="16.5" customHeight="1" x14ac:dyDescent="0.35">
      <c r="A134" s="73"/>
      <c r="B134" s="99"/>
      <c r="D134" s="73"/>
      <c r="E134" s="73"/>
      <c r="F134" s="73"/>
    </row>
    <row r="135" spans="1:6" ht="16.5" customHeight="1" x14ac:dyDescent="0.35">
      <c r="A135" s="73"/>
      <c r="B135" s="99"/>
      <c r="D135" s="73"/>
      <c r="E135" s="73"/>
      <c r="F135" s="73"/>
    </row>
    <row r="136" spans="1:6" ht="16.5" customHeight="1" x14ac:dyDescent="0.35">
      <c r="A136" s="73"/>
      <c r="B136" s="99"/>
      <c r="D136" s="73"/>
      <c r="E136" s="73"/>
      <c r="F136" s="73"/>
    </row>
    <row r="137" spans="1:6" ht="16.5" customHeight="1" x14ac:dyDescent="0.35">
      <c r="A137" s="73"/>
      <c r="B137" s="99"/>
      <c r="D137" s="73"/>
      <c r="E137" s="73"/>
      <c r="F137" s="73"/>
    </row>
    <row r="138" spans="1:6" ht="16.5" customHeight="1" x14ac:dyDescent="0.35">
      <c r="A138" s="73"/>
      <c r="B138" s="99"/>
      <c r="D138" s="73"/>
      <c r="E138" s="73"/>
      <c r="F138" s="73"/>
    </row>
    <row r="139" spans="1:6" ht="16.5" customHeight="1" x14ac:dyDescent="0.35">
      <c r="A139" s="73"/>
      <c r="B139" s="99"/>
      <c r="D139" s="73"/>
      <c r="E139" s="73"/>
      <c r="F139" s="73"/>
    </row>
    <row r="140" spans="1:6" ht="16.5" customHeight="1" x14ac:dyDescent="0.35">
      <c r="A140" s="73"/>
      <c r="B140" s="99"/>
      <c r="D140" s="73"/>
      <c r="E140" s="73"/>
      <c r="F140" s="73"/>
    </row>
    <row r="141" spans="1:6" ht="16.5" customHeight="1" x14ac:dyDescent="0.35">
      <c r="A141" s="73"/>
      <c r="B141" s="99"/>
      <c r="D141" s="73"/>
      <c r="E141" s="73"/>
      <c r="F141" s="73"/>
    </row>
    <row r="142" spans="1:6" ht="16.5" customHeight="1" x14ac:dyDescent="0.35">
      <c r="A142" s="73"/>
      <c r="B142" s="99"/>
      <c r="D142" s="73"/>
      <c r="E142" s="73"/>
      <c r="F142" s="73"/>
    </row>
    <row r="143" spans="1:6" ht="16.5" customHeight="1" x14ac:dyDescent="0.35">
      <c r="A143" s="73"/>
      <c r="B143" s="99"/>
      <c r="D143" s="73"/>
      <c r="E143" s="73"/>
      <c r="F143" s="73"/>
    </row>
    <row r="144" spans="1:6" ht="16.5" customHeight="1" x14ac:dyDescent="0.35">
      <c r="A144" s="73"/>
      <c r="B144" s="99"/>
      <c r="D144" s="73"/>
      <c r="E144" s="73"/>
      <c r="F144" s="73"/>
    </row>
    <row r="145" spans="1:6" ht="16.5" customHeight="1" x14ac:dyDescent="0.35">
      <c r="A145" s="73"/>
      <c r="B145" s="99"/>
      <c r="D145" s="73"/>
      <c r="E145" s="73"/>
      <c r="F145" s="73"/>
    </row>
    <row r="146" spans="1:6" ht="16.5" customHeight="1" x14ac:dyDescent="0.35">
      <c r="A146" s="73"/>
      <c r="B146" s="99"/>
      <c r="D146" s="73"/>
      <c r="E146" s="73"/>
      <c r="F146" s="73"/>
    </row>
    <row r="147" spans="1:6" ht="16.5" customHeight="1" x14ac:dyDescent="0.35">
      <c r="A147" s="73"/>
      <c r="B147" s="99"/>
      <c r="D147" s="73"/>
      <c r="E147" s="73"/>
      <c r="F147" s="73"/>
    </row>
    <row r="148" spans="1:6" ht="16.5" customHeight="1" x14ac:dyDescent="0.35">
      <c r="A148" s="73"/>
      <c r="B148" s="99"/>
      <c r="D148" s="73"/>
      <c r="E148" s="73"/>
      <c r="F148" s="73"/>
    </row>
    <row r="149" spans="1:6" ht="16.5" customHeight="1" x14ac:dyDescent="0.35">
      <c r="A149" s="73"/>
      <c r="B149" s="99"/>
      <c r="D149" s="73"/>
      <c r="E149" s="73"/>
      <c r="F149" s="73"/>
    </row>
    <row r="150" spans="1:6" ht="16.5" customHeight="1" x14ac:dyDescent="0.35">
      <c r="A150" s="73"/>
      <c r="B150" s="99"/>
      <c r="D150" s="73"/>
      <c r="E150" s="73"/>
      <c r="F150" s="73"/>
    </row>
    <row r="151" spans="1:6" ht="16.5" customHeight="1" x14ac:dyDescent="0.35">
      <c r="A151" s="73"/>
      <c r="B151" s="99"/>
      <c r="D151" s="73"/>
      <c r="E151" s="73"/>
      <c r="F151" s="73"/>
    </row>
    <row r="152" spans="1:6" ht="16.5" customHeight="1" x14ac:dyDescent="0.35">
      <c r="A152" s="73"/>
      <c r="B152" s="99"/>
      <c r="D152" s="73"/>
      <c r="E152" s="73"/>
      <c r="F152" s="73"/>
    </row>
    <row r="153" spans="1:6" ht="16.5" customHeight="1" x14ac:dyDescent="0.35">
      <c r="A153" s="73"/>
      <c r="B153" s="99"/>
      <c r="D153" s="73"/>
      <c r="E153" s="73"/>
      <c r="F153" s="73"/>
    </row>
    <row r="154" spans="1:6" ht="16.5" customHeight="1" x14ac:dyDescent="0.35">
      <c r="A154" s="73"/>
      <c r="B154" s="99"/>
      <c r="D154" s="73"/>
      <c r="E154" s="73"/>
      <c r="F154" s="73"/>
    </row>
    <row r="155" spans="1:6" ht="16.5" customHeight="1" x14ac:dyDescent="0.35">
      <c r="A155" s="73"/>
      <c r="B155" s="99"/>
      <c r="D155" s="73"/>
      <c r="E155" s="73"/>
      <c r="F155" s="73"/>
    </row>
    <row r="156" spans="1:6" ht="16.5" customHeight="1" x14ac:dyDescent="0.35">
      <c r="A156" s="73"/>
      <c r="B156" s="99"/>
      <c r="D156" s="73"/>
      <c r="E156" s="73"/>
      <c r="F156" s="73"/>
    </row>
    <row r="157" spans="1:6" ht="16.5" customHeight="1" x14ac:dyDescent="0.35">
      <c r="A157" s="73"/>
      <c r="B157" s="99"/>
      <c r="D157" s="73"/>
      <c r="E157" s="73"/>
      <c r="F157" s="73"/>
    </row>
    <row r="158" spans="1:6" ht="16.5" customHeight="1" x14ac:dyDescent="0.35">
      <c r="A158" s="73"/>
      <c r="B158" s="99"/>
      <c r="D158" s="73"/>
      <c r="E158" s="73"/>
      <c r="F158" s="73"/>
    </row>
    <row r="159" spans="1:6" ht="16.5" customHeight="1" x14ac:dyDescent="0.35">
      <c r="A159" s="73"/>
      <c r="B159" s="99"/>
      <c r="D159" s="73"/>
      <c r="E159" s="73"/>
      <c r="F159" s="73"/>
    </row>
    <row r="160" spans="1:6" ht="16.5" customHeight="1" x14ac:dyDescent="0.35">
      <c r="A160" s="73"/>
      <c r="B160" s="99"/>
      <c r="D160" s="73"/>
      <c r="E160" s="73"/>
      <c r="F160" s="73"/>
    </row>
    <row r="161" spans="1:6" ht="16.5" customHeight="1" x14ac:dyDescent="0.35">
      <c r="A161" s="73"/>
      <c r="B161" s="99"/>
      <c r="D161" s="73"/>
      <c r="E161" s="73"/>
      <c r="F161" s="73"/>
    </row>
    <row r="162" spans="1:6" ht="16.5" customHeight="1" x14ac:dyDescent="0.35">
      <c r="A162" s="73"/>
      <c r="B162" s="99"/>
      <c r="D162" s="73"/>
      <c r="E162" s="73"/>
      <c r="F162" s="73"/>
    </row>
    <row r="163" spans="1:6" ht="16.5" customHeight="1" x14ac:dyDescent="0.35">
      <c r="A163" s="73"/>
      <c r="B163" s="99"/>
      <c r="D163" s="73"/>
      <c r="E163" s="73"/>
      <c r="F163" s="73"/>
    </row>
    <row r="164" spans="1:6" ht="16.5" customHeight="1" x14ac:dyDescent="0.35">
      <c r="A164" s="73"/>
      <c r="B164" s="99"/>
      <c r="D164" s="73"/>
      <c r="E164" s="73"/>
      <c r="F164" s="73"/>
    </row>
    <row r="165" spans="1:6" ht="16.5" customHeight="1" x14ac:dyDescent="0.35">
      <c r="A165" s="73"/>
      <c r="B165" s="99"/>
      <c r="D165" s="73"/>
      <c r="E165" s="73"/>
      <c r="F165" s="73"/>
    </row>
    <row r="166" spans="1:6" ht="16.5" customHeight="1" x14ac:dyDescent="0.35">
      <c r="A166" s="73"/>
      <c r="B166" s="99"/>
      <c r="D166" s="73"/>
      <c r="E166" s="73"/>
      <c r="F166" s="73"/>
    </row>
    <row r="167" spans="1:6" ht="16.5" customHeight="1" x14ac:dyDescent="0.35">
      <c r="A167" s="73"/>
      <c r="B167" s="99"/>
      <c r="D167" s="73"/>
      <c r="E167" s="73"/>
      <c r="F167" s="73"/>
    </row>
    <row r="168" spans="1:6" ht="16.5" customHeight="1" x14ac:dyDescent="0.35">
      <c r="A168" s="73"/>
      <c r="B168" s="99"/>
      <c r="D168" s="73"/>
      <c r="E168" s="73"/>
      <c r="F168" s="73"/>
    </row>
    <row r="169" spans="1:6" ht="16.5" customHeight="1" x14ac:dyDescent="0.35">
      <c r="A169" s="73"/>
      <c r="B169" s="99"/>
      <c r="D169" s="73"/>
      <c r="E169" s="73"/>
      <c r="F169" s="73"/>
    </row>
    <row r="170" spans="1:6" ht="16.5" customHeight="1" x14ac:dyDescent="0.35">
      <c r="A170" s="73"/>
      <c r="B170" s="99"/>
      <c r="D170" s="73"/>
      <c r="E170" s="73"/>
      <c r="F170" s="73"/>
    </row>
    <row r="171" spans="1:6" ht="16.5" customHeight="1" x14ac:dyDescent="0.35">
      <c r="A171" s="73"/>
      <c r="B171" s="99"/>
      <c r="D171" s="73"/>
      <c r="E171" s="73"/>
      <c r="F171" s="73"/>
    </row>
    <row r="172" spans="1:6" ht="16.5" customHeight="1" x14ac:dyDescent="0.35">
      <c r="A172" s="73"/>
      <c r="B172" s="99"/>
      <c r="D172" s="73"/>
      <c r="E172" s="73"/>
      <c r="F172" s="73"/>
    </row>
    <row r="173" spans="1:6" ht="16.5" customHeight="1" x14ac:dyDescent="0.35">
      <c r="A173" s="73"/>
      <c r="B173" s="99"/>
      <c r="D173" s="73"/>
      <c r="E173" s="73"/>
      <c r="F173" s="73"/>
    </row>
    <row r="174" spans="1:6" ht="16.5" customHeight="1" x14ac:dyDescent="0.35">
      <c r="A174" s="73"/>
      <c r="B174" s="99"/>
      <c r="D174" s="73"/>
      <c r="E174" s="73"/>
      <c r="F174" s="73"/>
    </row>
    <row r="175" spans="1:6" ht="16.5" customHeight="1" x14ac:dyDescent="0.35">
      <c r="A175" s="73"/>
      <c r="B175" s="99"/>
      <c r="D175" s="73"/>
      <c r="E175" s="73"/>
      <c r="F175" s="73"/>
    </row>
    <row r="176" spans="1:6" ht="16.5" customHeight="1" x14ac:dyDescent="0.35">
      <c r="A176" s="73"/>
      <c r="B176" s="99"/>
      <c r="D176" s="73"/>
      <c r="E176" s="73"/>
      <c r="F176" s="73"/>
    </row>
    <row r="177" spans="1:6" ht="16.5" customHeight="1" x14ac:dyDescent="0.35">
      <c r="A177" s="73"/>
      <c r="B177" s="99"/>
      <c r="D177" s="73"/>
      <c r="E177" s="73"/>
      <c r="F177" s="73"/>
    </row>
    <row r="178" spans="1:6" ht="16.5" customHeight="1" x14ac:dyDescent="0.35">
      <c r="A178" s="73"/>
      <c r="B178" s="99"/>
      <c r="D178" s="73"/>
      <c r="E178" s="73"/>
      <c r="F178" s="73"/>
    </row>
    <row r="179" spans="1:6" ht="16.5" customHeight="1" x14ac:dyDescent="0.35">
      <c r="A179" s="73"/>
      <c r="B179" s="99"/>
      <c r="D179" s="73"/>
      <c r="E179" s="73"/>
      <c r="F179" s="73"/>
    </row>
    <row r="180" spans="1:6" ht="16.5" customHeight="1" x14ac:dyDescent="0.35">
      <c r="A180" s="73"/>
      <c r="B180" s="99"/>
      <c r="D180" s="73"/>
      <c r="E180" s="73"/>
      <c r="F180" s="73"/>
    </row>
    <row r="181" spans="1:6" ht="16.5" customHeight="1" x14ac:dyDescent="0.35">
      <c r="A181" s="73"/>
      <c r="B181" s="99"/>
      <c r="D181" s="73"/>
      <c r="E181" s="73"/>
      <c r="F181" s="73"/>
    </row>
    <row r="182" spans="1:6" ht="16.5" customHeight="1" x14ac:dyDescent="0.35">
      <c r="A182" s="73"/>
      <c r="B182" s="99"/>
      <c r="D182" s="73"/>
      <c r="E182" s="73"/>
      <c r="F182" s="73"/>
    </row>
    <row r="183" spans="1:6" ht="16.5" customHeight="1" x14ac:dyDescent="0.35">
      <c r="A183" s="73"/>
      <c r="B183" s="99"/>
      <c r="D183" s="73"/>
      <c r="E183" s="73"/>
      <c r="F183" s="73"/>
    </row>
    <row r="184" spans="1:6" ht="16.5" customHeight="1" x14ac:dyDescent="0.35">
      <c r="A184" s="73"/>
      <c r="B184" s="99"/>
      <c r="D184" s="73"/>
      <c r="E184" s="73"/>
      <c r="F184" s="73"/>
    </row>
    <row r="185" spans="1:6" ht="16.5" customHeight="1" x14ac:dyDescent="0.35">
      <c r="A185" s="73"/>
      <c r="B185" s="99"/>
      <c r="D185" s="73"/>
      <c r="E185" s="73"/>
      <c r="F185" s="73"/>
    </row>
    <row r="186" spans="1:6" ht="16.5" customHeight="1" x14ac:dyDescent="0.35">
      <c r="A186" s="73"/>
      <c r="B186" s="99"/>
      <c r="D186" s="73"/>
      <c r="E186" s="73"/>
      <c r="F186" s="73"/>
    </row>
    <row r="187" spans="1:6" ht="16.5" customHeight="1" x14ac:dyDescent="0.35">
      <c r="A187" s="73"/>
      <c r="B187" s="99"/>
      <c r="D187" s="73"/>
      <c r="E187" s="73"/>
      <c r="F187" s="73"/>
    </row>
    <row r="188" spans="1:6" ht="16.5" customHeight="1" x14ac:dyDescent="0.35">
      <c r="A188" s="73"/>
      <c r="B188" s="99"/>
      <c r="D188" s="73"/>
      <c r="E188" s="73"/>
      <c r="F188" s="73"/>
    </row>
    <row r="189" spans="1:6" ht="16.5" customHeight="1" x14ac:dyDescent="0.35">
      <c r="A189" s="73"/>
      <c r="B189" s="99"/>
      <c r="D189" s="73"/>
      <c r="E189" s="73"/>
      <c r="F189" s="73"/>
    </row>
    <row r="190" spans="1:6" ht="16.5" customHeight="1" x14ac:dyDescent="0.35">
      <c r="A190" s="73"/>
      <c r="B190" s="99"/>
      <c r="D190" s="73"/>
      <c r="E190" s="73"/>
      <c r="F190" s="73"/>
    </row>
    <row r="191" spans="1:6" ht="16.5" customHeight="1" x14ac:dyDescent="0.35">
      <c r="A191" s="73"/>
      <c r="B191" s="99"/>
      <c r="D191" s="73"/>
      <c r="E191" s="73"/>
      <c r="F191" s="73"/>
    </row>
    <row r="192" spans="1:6" ht="16.5" customHeight="1" x14ac:dyDescent="0.35">
      <c r="A192" s="73"/>
      <c r="B192" s="99"/>
      <c r="D192" s="73"/>
      <c r="E192" s="73"/>
      <c r="F192" s="73"/>
    </row>
    <row r="193" spans="1:6" ht="16.5" customHeight="1" x14ac:dyDescent="0.35">
      <c r="A193" s="73"/>
      <c r="B193" s="99"/>
      <c r="D193" s="73"/>
      <c r="E193" s="73"/>
      <c r="F193" s="73"/>
    </row>
    <row r="194" spans="1:6" ht="16.5" customHeight="1" x14ac:dyDescent="0.35">
      <c r="A194" s="73"/>
      <c r="B194" s="99"/>
      <c r="D194" s="73"/>
      <c r="E194" s="73"/>
      <c r="F194" s="73"/>
    </row>
    <row r="195" spans="1:6" ht="16.5" customHeight="1" x14ac:dyDescent="0.35">
      <c r="A195" s="73"/>
      <c r="B195" s="99"/>
      <c r="D195" s="73"/>
      <c r="E195" s="73"/>
      <c r="F195" s="73"/>
    </row>
    <row r="196" spans="1:6" ht="16.5" customHeight="1" x14ac:dyDescent="0.35">
      <c r="A196" s="73"/>
      <c r="B196" s="99"/>
      <c r="D196" s="73"/>
      <c r="E196" s="73"/>
      <c r="F196" s="73"/>
    </row>
    <row r="197" spans="1:6" ht="16.5" customHeight="1" x14ac:dyDescent="0.35">
      <c r="A197" s="73"/>
      <c r="B197" s="99"/>
      <c r="D197" s="73"/>
      <c r="E197" s="73"/>
      <c r="F197" s="73"/>
    </row>
    <row r="198" spans="1:6" ht="16.5" customHeight="1" x14ac:dyDescent="0.35">
      <c r="A198" s="73"/>
      <c r="B198" s="99"/>
      <c r="D198" s="73"/>
      <c r="E198" s="73"/>
      <c r="F198" s="73"/>
    </row>
    <row r="199" spans="1:6" ht="16.5" customHeight="1" x14ac:dyDescent="0.35">
      <c r="A199" s="73"/>
      <c r="B199" s="99"/>
      <c r="D199" s="73"/>
      <c r="E199" s="73"/>
      <c r="F199" s="73"/>
    </row>
    <row r="200" spans="1:6" ht="16.5" customHeight="1" x14ac:dyDescent="0.35">
      <c r="A200" s="73"/>
      <c r="B200" s="99"/>
      <c r="D200" s="73"/>
      <c r="E200" s="73"/>
      <c r="F200" s="73"/>
    </row>
    <row r="201" spans="1:6" ht="16.5" customHeight="1" x14ac:dyDescent="0.35">
      <c r="A201" s="73"/>
      <c r="B201" s="99"/>
      <c r="D201" s="73"/>
      <c r="E201" s="73"/>
      <c r="F201" s="73"/>
    </row>
    <row r="202" spans="1:6" ht="16.5" customHeight="1" x14ac:dyDescent="0.35">
      <c r="A202" s="73"/>
      <c r="B202" s="99"/>
      <c r="D202" s="73"/>
      <c r="E202" s="73"/>
      <c r="F202" s="73"/>
    </row>
    <row r="203" spans="1:6" ht="16.5" customHeight="1" x14ac:dyDescent="0.35">
      <c r="A203" s="73"/>
      <c r="B203" s="99"/>
      <c r="D203" s="73"/>
      <c r="E203" s="73"/>
      <c r="F203" s="73"/>
    </row>
    <row r="204" spans="1:6" ht="16.5" customHeight="1" x14ac:dyDescent="0.35">
      <c r="A204" s="73"/>
      <c r="B204" s="99"/>
      <c r="D204" s="73"/>
      <c r="E204" s="73"/>
      <c r="F204" s="73"/>
    </row>
    <row r="205" spans="1:6" ht="16.5" customHeight="1" x14ac:dyDescent="0.35">
      <c r="A205" s="73"/>
      <c r="B205" s="99"/>
      <c r="D205" s="73"/>
      <c r="E205" s="73"/>
      <c r="F205" s="73"/>
    </row>
    <row r="206" spans="1:6" ht="16.5" customHeight="1" x14ac:dyDescent="0.35">
      <c r="A206" s="73"/>
      <c r="B206" s="99"/>
      <c r="D206" s="73"/>
      <c r="E206" s="73"/>
      <c r="F206" s="73"/>
    </row>
    <row r="207" spans="1:6" ht="16.5" customHeight="1" x14ac:dyDescent="0.35">
      <c r="A207" s="73"/>
      <c r="B207" s="99"/>
      <c r="D207" s="73"/>
      <c r="E207" s="73"/>
      <c r="F207" s="73"/>
    </row>
    <row r="208" spans="1:6" ht="16.5" customHeight="1" x14ac:dyDescent="0.35">
      <c r="A208" s="73"/>
      <c r="B208" s="99"/>
      <c r="D208" s="73"/>
      <c r="E208" s="73"/>
      <c r="F208" s="73"/>
    </row>
    <row r="209" spans="1:6" ht="16.5" customHeight="1" x14ac:dyDescent="0.35">
      <c r="A209" s="73"/>
      <c r="B209" s="99"/>
      <c r="D209" s="73"/>
      <c r="E209" s="73"/>
      <c r="F209" s="73"/>
    </row>
    <row r="210" spans="1:6" ht="16.5" customHeight="1" x14ac:dyDescent="0.35">
      <c r="A210" s="73"/>
      <c r="B210" s="99"/>
      <c r="D210" s="73"/>
      <c r="E210" s="73"/>
      <c r="F210" s="73"/>
    </row>
    <row r="211" spans="1:6" ht="16.5" customHeight="1" x14ac:dyDescent="0.35">
      <c r="A211" s="73"/>
      <c r="B211" s="99"/>
      <c r="D211" s="73"/>
      <c r="E211" s="73"/>
      <c r="F211" s="73"/>
    </row>
    <row r="212" spans="1:6" ht="16.5" customHeight="1" x14ac:dyDescent="0.35">
      <c r="A212" s="73"/>
      <c r="B212" s="99"/>
      <c r="D212" s="73"/>
      <c r="E212" s="73"/>
      <c r="F212" s="73"/>
    </row>
    <row r="213" spans="1:6" ht="16.5" customHeight="1" x14ac:dyDescent="0.35">
      <c r="A213" s="73"/>
      <c r="B213" s="99"/>
      <c r="D213" s="73"/>
      <c r="E213" s="73"/>
      <c r="F213" s="73"/>
    </row>
    <row r="214" spans="1:6" ht="16.5" customHeight="1" x14ac:dyDescent="0.35">
      <c r="A214" s="73"/>
      <c r="B214" s="99"/>
      <c r="D214" s="73"/>
      <c r="E214" s="73"/>
      <c r="F214" s="73"/>
    </row>
    <row r="215" spans="1:6" ht="16.5" customHeight="1" x14ac:dyDescent="0.35">
      <c r="A215" s="73"/>
      <c r="B215" s="99"/>
      <c r="D215" s="73"/>
      <c r="E215" s="73"/>
      <c r="F215" s="73"/>
    </row>
    <row r="216" spans="1:6" ht="16.5" customHeight="1" x14ac:dyDescent="0.35">
      <c r="A216" s="73"/>
      <c r="B216" s="99"/>
      <c r="D216" s="73"/>
      <c r="E216" s="73"/>
      <c r="F216" s="73"/>
    </row>
    <row r="217" spans="1:6" ht="16.5" customHeight="1" x14ac:dyDescent="0.35">
      <c r="A217" s="73"/>
      <c r="B217" s="99"/>
      <c r="D217" s="73"/>
      <c r="E217" s="73"/>
      <c r="F217" s="73"/>
    </row>
    <row r="218" spans="1:6" ht="16.5" customHeight="1" x14ac:dyDescent="0.35">
      <c r="A218" s="73"/>
      <c r="B218" s="99"/>
      <c r="D218" s="73"/>
      <c r="E218" s="73"/>
      <c r="F218" s="73"/>
    </row>
    <row r="219" spans="1:6" ht="16.5" customHeight="1" x14ac:dyDescent="0.35">
      <c r="A219" s="73"/>
      <c r="B219" s="99"/>
      <c r="D219" s="73"/>
      <c r="E219" s="73"/>
      <c r="F219" s="73"/>
    </row>
    <row r="220" spans="1:6" ht="16.5" customHeight="1" x14ac:dyDescent="0.35">
      <c r="A220" s="73"/>
      <c r="B220" s="99"/>
      <c r="D220" s="73"/>
      <c r="E220" s="73"/>
      <c r="F220" s="73"/>
    </row>
    <row r="221" spans="1:6" ht="16.5" customHeight="1" x14ac:dyDescent="0.35">
      <c r="A221" s="73"/>
      <c r="B221" s="99"/>
      <c r="D221" s="73"/>
      <c r="E221" s="73"/>
      <c r="F221" s="73"/>
    </row>
    <row r="222" spans="1:6" ht="16.5" customHeight="1" x14ac:dyDescent="0.35">
      <c r="A222" s="73"/>
      <c r="B222" s="99"/>
      <c r="D222" s="73"/>
      <c r="E222" s="73"/>
      <c r="F222" s="73"/>
    </row>
    <row r="223" spans="1:6" ht="16.5" customHeight="1" x14ac:dyDescent="0.35">
      <c r="A223" s="73"/>
      <c r="B223" s="99"/>
      <c r="D223" s="73"/>
      <c r="E223" s="73"/>
      <c r="F223" s="73"/>
    </row>
    <row r="224" spans="1:6" ht="16.5" customHeight="1" x14ac:dyDescent="0.35">
      <c r="A224" s="73"/>
      <c r="B224" s="99"/>
      <c r="D224" s="73"/>
      <c r="E224" s="73"/>
      <c r="F224" s="73"/>
    </row>
    <row r="225" spans="1:6" ht="16.5" customHeight="1" x14ac:dyDescent="0.35">
      <c r="A225" s="73"/>
      <c r="B225" s="99"/>
      <c r="D225" s="73"/>
      <c r="E225" s="73"/>
      <c r="F225" s="73"/>
    </row>
    <row r="226" spans="1:6" ht="16.5" customHeight="1" x14ac:dyDescent="0.35">
      <c r="A226" s="73"/>
      <c r="B226" s="99"/>
      <c r="D226" s="73"/>
      <c r="E226" s="73"/>
      <c r="F226" s="73"/>
    </row>
    <row r="227" spans="1:6" ht="16.5" customHeight="1" x14ac:dyDescent="0.35">
      <c r="A227" s="73"/>
      <c r="B227" s="99"/>
      <c r="D227" s="73"/>
      <c r="E227" s="73"/>
      <c r="F227" s="73"/>
    </row>
    <row r="228" spans="1:6" ht="16.5" customHeight="1" x14ac:dyDescent="0.35">
      <c r="A228" s="73"/>
      <c r="B228" s="99"/>
      <c r="D228" s="73"/>
      <c r="E228" s="73"/>
      <c r="F228" s="73"/>
    </row>
    <row r="229" spans="1:6" ht="15.75" customHeight="1" x14ac:dyDescent="0.35"/>
    <row r="230" spans="1:6" ht="15.75" customHeight="1" x14ac:dyDescent="0.35"/>
    <row r="231" spans="1:6" ht="15.75" customHeight="1" x14ac:dyDescent="0.35"/>
    <row r="232" spans="1:6" ht="15.75" customHeight="1" x14ac:dyDescent="0.35"/>
    <row r="233" spans="1:6" ht="15.75" customHeight="1" x14ac:dyDescent="0.35"/>
    <row r="234" spans="1:6" ht="15.75" customHeight="1" x14ac:dyDescent="0.35"/>
    <row r="235" spans="1:6" ht="15.75" customHeight="1" x14ac:dyDescent="0.35"/>
    <row r="236" spans="1:6" ht="15.75" customHeight="1" x14ac:dyDescent="0.35"/>
    <row r="237" spans="1:6" ht="15.75" customHeight="1" x14ac:dyDescent="0.35"/>
    <row r="238" spans="1:6" ht="15.75" customHeight="1" x14ac:dyDescent="0.35"/>
    <row r="239" spans="1:6" ht="15.75" customHeight="1" x14ac:dyDescent="0.35"/>
    <row r="240" spans="1:6"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4">
    <mergeCell ref="B1:F1"/>
    <mergeCell ref="B2:F2"/>
    <mergeCell ref="B9:F9"/>
    <mergeCell ref="B17:F17"/>
  </mergeCells>
  <conditionalFormatting sqref="H28">
    <cfRule type="cellIs" dxfId="5" priority="1" operator="greaterThan">
      <formula>0</formula>
    </cfRule>
  </conditionalFormatting>
  <printOptions horizontalCentered="1"/>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pageSetUpPr fitToPage="1"/>
  </sheetPr>
  <dimension ref="A1:Z1000"/>
  <sheetViews>
    <sheetView workbookViewId="0"/>
  </sheetViews>
  <sheetFormatPr defaultColWidth="14.453125" defaultRowHeight="15" customHeight="1" x14ac:dyDescent="0.35"/>
  <cols>
    <col min="1" max="6" width="26.7265625" customWidth="1"/>
    <col min="7" max="7" width="25.453125" customWidth="1"/>
    <col min="8" max="8" width="19.453125" customWidth="1"/>
    <col min="9" max="26" width="9.08984375" customWidth="1"/>
  </cols>
  <sheetData>
    <row r="1" spans="1:26" ht="16.5" customHeight="1" x14ac:dyDescent="0.35">
      <c r="A1" s="70"/>
      <c r="B1" s="217" t="s">
        <v>297</v>
      </c>
      <c r="C1" s="218"/>
      <c r="D1" s="218"/>
      <c r="E1" s="218"/>
      <c r="F1" s="219"/>
      <c r="G1" s="71"/>
      <c r="H1" s="71"/>
      <c r="I1" s="71"/>
      <c r="J1" s="71"/>
      <c r="K1" s="71"/>
      <c r="L1" s="71"/>
      <c r="M1" s="71"/>
      <c r="N1" s="71"/>
      <c r="O1" s="71"/>
      <c r="P1" s="71"/>
      <c r="Q1" s="71"/>
      <c r="R1" s="71"/>
      <c r="S1" s="71"/>
      <c r="T1" s="71"/>
      <c r="U1" s="71"/>
      <c r="V1" s="71"/>
      <c r="W1" s="71"/>
      <c r="X1" s="71"/>
      <c r="Y1" s="71"/>
      <c r="Z1" s="71"/>
    </row>
    <row r="2" spans="1:26" ht="16.5" customHeight="1" x14ac:dyDescent="0.35">
      <c r="A2" s="72" t="s">
        <v>298</v>
      </c>
      <c r="B2" s="217" t="s">
        <v>299</v>
      </c>
      <c r="C2" s="218"/>
      <c r="D2" s="218"/>
      <c r="E2" s="218"/>
      <c r="F2" s="219"/>
      <c r="G2" s="71"/>
      <c r="H2" s="71"/>
      <c r="I2" s="71"/>
      <c r="J2" s="71"/>
      <c r="K2" s="71"/>
      <c r="L2" s="71"/>
      <c r="M2" s="71"/>
      <c r="N2" s="71"/>
      <c r="O2" s="71"/>
      <c r="P2" s="71"/>
      <c r="Q2" s="71"/>
      <c r="R2" s="71"/>
      <c r="S2" s="71"/>
      <c r="T2" s="71"/>
      <c r="U2" s="71"/>
      <c r="V2" s="71"/>
      <c r="W2" s="71"/>
      <c r="X2" s="71"/>
      <c r="Y2" s="71"/>
      <c r="Z2" s="71"/>
    </row>
    <row r="3" spans="1:26" ht="16.5" customHeight="1" x14ac:dyDescent="0.35">
      <c r="B3" s="72">
        <v>1</v>
      </c>
      <c r="C3" s="72">
        <v>2</v>
      </c>
      <c r="D3" s="72">
        <v>3</v>
      </c>
      <c r="E3" s="72">
        <v>4</v>
      </c>
      <c r="F3" s="72">
        <v>5</v>
      </c>
    </row>
    <row r="4" spans="1:26" ht="16.5" customHeight="1" x14ac:dyDescent="0.35">
      <c r="A4" s="73"/>
      <c r="B4" s="72" t="s">
        <v>300</v>
      </c>
      <c r="C4" s="72" t="s">
        <v>301</v>
      </c>
      <c r="D4" s="72" t="s">
        <v>302</v>
      </c>
      <c r="E4" s="72" t="s">
        <v>303</v>
      </c>
      <c r="F4" s="72" t="s">
        <v>304</v>
      </c>
    </row>
    <row r="5" spans="1:26" ht="16.5" customHeight="1" x14ac:dyDescent="0.35">
      <c r="A5" s="72" t="s">
        <v>305</v>
      </c>
      <c r="B5" s="108" t="s">
        <v>354</v>
      </c>
      <c r="C5" s="109" t="s">
        <v>355</v>
      </c>
      <c r="D5" s="110" t="s">
        <v>356</v>
      </c>
      <c r="E5" s="111" t="s">
        <v>357</v>
      </c>
      <c r="F5" s="112" t="s">
        <v>358</v>
      </c>
    </row>
    <row r="6" spans="1:26" ht="16.5" customHeight="1" x14ac:dyDescent="0.35">
      <c r="A6" s="79" t="s">
        <v>311</v>
      </c>
      <c r="B6" s="113" t="s">
        <v>359</v>
      </c>
      <c r="C6" s="114" t="s">
        <v>360</v>
      </c>
      <c r="D6" s="115" t="s">
        <v>361</v>
      </c>
      <c r="E6" s="116" t="s">
        <v>362</v>
      </c>
      <c r="F6" s="117" t="s">
        <v>363</v>
      </c>
    </row>
    <row r="7" spans="1:26" ht="16.5" customHeight="1" x14ac:dyDescent="0.35">
      <c r="A7" s="85" t="s">
        <v>317</v>
      </c>
      <c r="B7" s="118" t="s">
        <v>364</v>
      </c>
      <c r="C7" s="119" t="s">
        <v>365</v>
      </c>
      <c r="D7" s="120" t="s">
        <v>366</v>
      </c>
      <c r="E7" s="121" t="s">
        <v>367</v>
      </c>
      <c r="F7" s="122" t="s">
        <v>368</v>
      </c>
    </row>
    <row r="8" spans="1:26" ht="16.5" customHeight="1" x14ac:dyDescent="0.35">
      <c r="A8" s="91"/>
      <c r="B8" s="92"/>
      <c r="C8" s="92"/>
      <c r="D8" s="92"/>
      <c r="E8" s="92"/>
      <c r="F8" s="92"/>
    </row>
    <row r="9" spans="1:26" ht="16.5" hidden="1" customHeight="1" x14ac:dyDescent="0.35">
      <c r="A9" s="72" t="s">
        <v>298</v>
      </c>
      <c r="B9" s="220" t="s">
        <v>323</v>
      </c>
      <c r="C9" s="218"/>
      <c r="D9" s="218"/>
      <c r="E9" s="218"/>
      <c r="F9" s="219"/>
    </row>
    <row r="10" spans="1:26" ht="16.5" hidden="1" customHeight="1" x14ac:dyDescent="0.35">
      <c r="B10" s="72">
        <v>1</v>
      </c>
      <c r="C10" s="72">
        <v>2</v>
      </c>
      <c r="D10" s="72">
        <v>3</v>
      </c>
      <c r="E10" s="72">
        <v>4</v>
      </c>
      <c r="F10" s="72">
        <v>5</v>
      </c>
    </row>
    <row r="11" spans="1:26" ht="16.5" hidden="1" customHeight="1" x14ac:dyDescent="0.35">
      <c r="A11" s="73"/>
      <c r="B11" s="72" t="s">
        <v>300</v>
      </c>
      <c r="C11" s="72" t="s">
        <v>301</v>
      </c>
      <c r="D11" s="72" t="s">
        <v>302</v>
      </c>
      <c r="E11" s="72" t="s">
        <v>303</v>
      </c>
      <c r="F11" s="72" t="s">
        <v>304</v>
      </c>
    </row>
    <row r="12" spans="1:26" ht="16.5" hidden="1" customHeight="1" x14ac:dyDescent="0.35">
      <c r="A12" s="72" t="s">
        <v>324</v>
      </c>
      <c r="B12" s="123" t="s">
        <v>369</v>
      </c>
      <c r="C12" s="124" t="s">
        <v>370</v>
      </c>
      <c r="D12" s="125" t="s">
        <v>371</v>
      </c>
      <c r="E12" s="126" t="s">
        <v>372</v>
      </c>
      <c r="F12" s="127" t="s">
        <v>373</v>
      </c>
    </row>
    <row r="13" spans="1:26" ht="16.5" hidden="1" customHeight="1" x14ac:dyDescent="0.35">
      <c r="A13" s="72" t="s">
        <v>330</v>
      </c>
      <c r="B13" s="128" t="s">
        <v>374</v>
      </c>
      <c r="C13" s="109" t="s">
        <v>375</v>
      </c>
      <c r="D13" s="110" t="s">
        <v>376</v>
      </c>
      <c r="E13" s="111" t="s">
        <v>377</v>
      </c>
      <c r="F13" s="112" t="s">
        <v>378</v>
      </c>
    </row>
    <row r="14" spans="1:26" ht="16.5" hidden="1" customHeight="1" x14ac:dyDescent="0.35">
      <c r="A14" s="72" t="s">
        <v>336</v>
      </c>
      <c r="B14" s="128" t="s">
        <v>379</v>
      </c>
      <c r="C14" s="109" t="s">
        <v>380</v>
      </c>
      <c r="D14" s="110" t="s">
        <v>381</v>
      </c>
      <c r="E14" s="111" t="s">
        <v>382</v>
      </c>
      <c r="F14" s="112" t="s">
        <v>383</v>
      </c>
    </row>
    <row r="15" spans="1:26" ht="16.5" hidden="1" customHeight="1" x14ac:dyDescent="0.35">
      <c r="A15" s="72" t="s">
        <v>342</v>
      </c>
      <c r="B15" s="128" t="s">
        <v>384</v>
      </c>
      <c r="C15" s="109" t="s">
        <v>385</v>
      </c>
      <c r="D15" s="110" t="s">
        <v>386</v>
      </c>
      <c r="E15" s="111" t="s">
        <v>387</v>
      </c>
      <c r="F15" s="112" t="s">
        <v>388</v>
      </c>
    </row>
    <row r="16" spans="1:26" ht="16.5" customHeight="1" x14ac:dyDescent="0.35">
      <c r="A16" s="73"/>
      <c r="B16" s="99"/>
      <c r="D16" s="73"/>
      <c r="E16" s="73"/>
      <c r="F16" s="73"/>
    </row>
    <row r="17" spans="1:26" ht="16.5" customHeight="1" x14ac:dyDescent="0.35">
      <c r="A17" s="100"/>
      <c r="B17" s="221" t="s">
        <v>348</v>
      </c>
      <c r="C17" s="218"/>
      <c r="D17" s="218"/>
      <c r="E17" s="218"/>
      <c r="F17" s="219"/>
      <c r="H17" s="71"/>
      <c r="I17" s="71"/>
      <c r="J17" s="71"/>
      <c r="K17" s="71"/>
      <c r="L17" s="71"/>
      <c r="M17" s="71"/>
      <c r="N17" s="71"/>
      <c r="O17" s="71"/>
      <c r="P17" s="71"/>
      <c r="Q17" s="71"/>
      <c r="R17" s="71"/>
      <c r="S17" s="71"/>
      <c r="T17" s="71"/>
      <c r="U17" s="71"/>
      <c r="V17" s="71"/>
      <c r="W17" s="71"/>
      <c r="X17" s="71"/>
      <c r="Y17" s="71"/>
      <c r="Z17" s="71"/>
    </row>
    <row r="18" spans="1:26" ht="16.5" customHeight="1" x14ac:dyDescent="0.35">
      <c r="A18" s="72"/>
      <c r="B18" s="72">
        <v>1</v>
      </c>
      <c r="C18" s="72">
        <v>2</v>
      </c>
      <c r="D18" s="72">
        <v>3</v>
      </c>
      <c r="E18" s="72">
        <v>4</v>
      </c>
      <c r="F18" s="72">
        <v>5</v>
      </c>
    </row>
    <row r="19" spans="1:26" ht="16.5" customHeight="1" x14ac:dyDescent="0.35">
      <c r="A19" s="73"/>
      <c r="B19" s="72" t="s">
        <v>300</v>
      </c>
      <c r="C19" s="72" t="s">
        <v>301</v>
      </c>
      <c r="D19" s="72" t="s">
        <v>302</v>
      </c>
      <c r="E19" s="72" t="s">
        <v>303</v>
      </c>
      <c r="F19" s="72" t="s">
        <v>304</v>
      </c>
    </row>
    <row r="20" spans="1:26" ht="16.5" customHeight="1" x14ac:dyDescent="0.35">
      <c r="A20" s="79" t="s">
        <v>349</v>
      </c>
      <c r="B20" s="113" t="str">
        <f>CONCATENATE((1),"-",(B28),"%")</f>
        <v>1-15%</v>
      </c>
      <c r="C20" s="114" t="str">
        <f>CONCATENATE((B28+1),"-",(SUM(B28:C28)),"%")</f>
        <v>16-30%</v>
      </c>
      <c r="D20" s="115" t="str">
        <f>CONCATENATE((SUM(B28:C28)+1),"-",(SUM(B28:D28)),"%")</f>
        <v>31-65%</v>
      </c>
      <c r="E20" s="116" t="str">
        <f>CONCATENATE((SUM(B28:D28)+1),"-",(SUM(B28:E28)),"%")</f>
        <v>66-80%</v>
      </c>
      <c r="F20" s="117" t="str">
        <f>CONCATENATE((SUM(B28:E28)+1),"-",(SUM(B28:F28)),"%")</f>
        <v>81-100%</v>
      </c>
    </row>
    <row r="21" spans="1:26" ht="16.5" customHeight="1" x14ac:dyDescent="0.35">
      <c r="A21" s="73"/>
      <c r="B21" s="99"/>
      <c r="D21" s="73"/>
      <c r="E21" s="73"/>
      <c r="F21" s="73"/>
    </row>
    <row r="22" spans="1:26" ht="16.5" customHeight="1" x14ac:dyDescent="0.35">
      <c r="A22" s="101" t="s">
        <v>350</v>
      </c>
      <c r="B22" s="99"/>
      <c r="D22" s="73"/>
      <c r="E22" s="73"/>
      <c r="F22" s="73"/>
    </row>
    <row r="23" spans="1:26" ht="16.5" customHeight="1" x14ac:dyDescent="0.35">
      <c r="A23" s="73"/>
      <c r="B23" s="99"/>
      <c r="D23" s="73"/>
      <c r="E23" s="73"/>
      <c r="F23" s="73"/>
    </row>
    <row r="24" spans="1:26" ht="16.5" customHeight="1" x14ac:dyDescent="0.35">
      <c r="A24" s="73"/>
      <c r="B24" s="99"/>
      <c r="D24" s="73"/>
      <c r="E24" s="73"/>
      <c r="F24" s="73"/>
    </row>
    <row r="25" spans="1:26" ht="16.5" customHeight="1" x14ac:dyDescent="0.35">
      <c r="A25" s="102"/>
      <c r="B25" s="103"/>
      <c r="C25" s="104"/>
      <c r="D25" s="105"/>
      <c r="E25" s="105"/>
      <c r="F25" s="105"/>
      <c r="G25" s="104"/>
      <c r="H25" s="104"/>
    </row>
    <row r="26" spans="1:26" ht="16.5" customHeight="1" x14ac:dyDescent="0.35">
      <c r="A26" s="101"/>
      <c r="B26" s="72">
        <v>1</v>
      </c>
      <c r="C26" s="72">
        <v>2</v>
      </c>
      <c r="D26" s="72">
        <v>3</v>
      </c>
      <c r="E26" s="72">
        <v>4</v>
      </c>
      <c r="F26" s="72">
        <v>5</v>
      </c>
    </row>
    <row r="27" spans="1:26" ht="16.5" customHeight="1" x14ac:dyDescent="0.35">
      <c r="A27" s="73"/>
      <c r="B27" s="72" t="s">
        <v>300</v>
      </c>
      <c r="C27" s="72" t="s">
        <v>301</v>
      </c>
      <c r="D27" s="72" t="s">
        <v>302</v>
      </c>
      <c r="E27" s="72" t="s">
        <v>303</v>
      </c>
      <c r="F27" s="72" t="s">
        <v>304</v>
      </c>
      <c r="G27" s="73" t="s">
        <v>351</v>
      </c>
      <c r="H27" s="129" t="s">
        <v>352</v>
      </c>
    </row>
    <row r="28" spans="1:26" ht="16.5" customHeight="1" x14ac:dyDescent="0.35">
      <c r="A28" s="73" t="s">
        <v>353</v>
      </c>
      <c r="B28" s="73">
        <v>15</v>
      </c>
      <c r="C28" s="73">
        <v>15</v>
      </c>
      <c r="D28" s="73">
        <v>35</v>
      </c>
      <c r="E28" s="73">
        <v>15</v>
      </c>
      <c r="F28" s="73">
        <v>20</v>
      </c>
      <c r="G28" s="73">
        <f>SUM(B28:F28)</f>
        <v>100</v>
      </c>
      <c r="H28" s="73">
        <f>100-G28</f>
        <v>0</v>
      </c>
    </row>
    <row r="29" spans="1:26" ht="16.5" customHeight="1" x14ac:dyDescent="0.35">
      <c r="A29" s="73"/>
      <c r="B29" s="99"/>
      <c r="D29" s="73"/>
      <c r="E29" s="73"/>
      <c r="F29" s="73"/>
    </row>
    <row r="30" spans="1:26" ht="16.5" customHeight="1" x14ac:dyDescent="0.35">
      <c r="A30" s="73"/>
      <c r="B30" s="99"/>
      <c r="D30" s="73"/>
      <c r="E30" s="73"/>
      <c r="F30" s="73"/>
    </row>
    <row r="31" spans="1:26" ht="16.5" customHeight="1" x14ac:dyDescent="0.35">
      <c r="A31" s="73"/>
      <c r="B31" s="99"/>
      <c r="D31" s="73"/>
      <c r="E31" s="73"/>
      <c r="F31" s="73"/>
    </row>
    <row r="32" spans="1:26" ht="16.5" customHeight="1" x14ac:dyDescent="0.35">
      <c r="A32" s="73"/>
      <c r="B32" s="99"/>
      <c r="D32" s="73"/>
      <c r="E32" s="73"/>
      <c r="F32" s="73"/>
    </row>
    <row r="33" spans="1:6" ht="16.5" customHeight="1" x14ac:dyDescent="0.35">
      <c r="A33" s="73"/>
      <c r="B33" s="99"/>
      <c r="D33" s="73"/>
      <c r="E33" s="73"/>
      <c r="F33" s="73"/>
    </row>
    <row r="34" spans="1:6" ht="16.5" customHeight="1" x14ac:dyDescent="0.35">
      <c r="A34" s="73"/>
      <c r="B34" s="99"/>
      <c r="D34" s="73"/>
      <c r="E34" s="73"/>
      <c r="F34" s="73"/>
    </row>
    <row r="35" spans="1:6" ht="16.5" customHeight="1" x14ac:dyDescent="0.35">
      <c r="A35" s="73"/>
      <c r="B35" s="99"/>
      <c r="D35" s="73"/>
      <c r="E35" s="73"/>
      <c r="F35" s="73"/>
    </row>
    <row r="36" spans="1:6" ht="16.5" customHeight="1" x14ac:dyDescent="0.35">
      <c r="A36" s="73"/>
      <c r="B36" s="99"/>
      <c r="D36" s="73"/>
      <c r="E36" s="73"/>
      <c r="F36" s="73"/>
    </row>
    <row r="37" spans="1:6" ht="16.5" customHeight="1" x14ac:dyDescent="0.35">
      <c r="A37" s="73"/>
      <c r="B37" s="99"/>
      <c r="D37" s="73"/>
      <c r="E37" s="73"/>
      <c r="F37" s="73"/>
    </row>
    <row r="38" spans="1:6" ht="16.5" customHeight="1" x14ac:dyDescent="0.35">
      <c r="A38" s="73"/>
      <c r="B38" s="99"/>
      <c r="D38" s="73"/>
      <c r="E38" s="73"/>
      <c r="F38" s="73"/>
    </row>
    <row r="39" spans="1:6" ht="16.5" customHeight="1" x14ac:dyDescent="0.35">
      <c r="A39" s="73"/>
      <c r="B39" s="99"/>
      <c r="D39" s="73"/>
      <c r="E39" s="73"/>
      <c r="F39" s="73"/>
    </row>
    <row r="40" spans="1:6" ht="16.5" customHeight="1" x14ac:dyDescent="0.35">
      <c r="A40" s="73"/>
      <c r="B40" s="99"/>
      <c r="D40" s="73"/>
      <c r="E40" s="73"/>
      <c r="F40" s="73"/>
    </row>
    <row r="41" spans="1:6" ht="16.5" customHeight="1" x14ac:dyDescent="0.35">
      <c r="A41" s="73"/>
      <c r="B41" s="99"/>
      <c r="D41" s="73"/>
      <c r="E41" s="73"/>
      <c r="F41" s="73"/>
    </row>
    <row r="42" spans="1:6" ht="16.5" customHeight="1" x14ac:dyDescent="0.35">
      <c r="A42" s="73"/>
      <c r="B42" s="99"/>
      <c r="D42" s="73"/>
      <c r="E42" s="73"/>
      <c r="F42" s="73"/>
    </row>
    <row r="43" spans="1:6" ht="16.5" customHeight="1" x14ac:dyDescent="0.35">
      <c r="A43" s="73"/>
      <c r="B43" s="99"/>
      <c r="D43" s="73"/>
      <c r="E43" s="73"/>
      <c r="F43" s="73"/>
    </row>
    <row r="44" spans="1:6" ht="16.5" customHeight="1" x14ac:dyDescent="0.35">
      <c r="A44" s="73"/>
      <c r="B44" s="99"/>
      <c r="D44" s="73"/>
      <c r="E44" s="73"/>
      <c r="F44" s="73"/>
    </row>
    <row r="45" spans="1:6" ht="16.5" customHeight="1" x14ac:dyDescent="0.35">
      <c r="A45" s="73"/>
      <c r="B45" s="99"/>
      <c r="D45" s="73"/>
      <c r="E45" s="73"/>
      <c r="F45" s="73"/>
    </row>
    <row r="46" spans="1:6" ht="16.5" customHeight="1" x14ac:dyDescent="0.35">
      <c r="A46" s="73"/>
      <c r="B46" s="99"/>
      <c r="D46" s="73"/>
      <c r="E46" s="73"/>
      <c r="F46" s="73"/>
    </row>
    <row r="47" spans="1:6" ht="16.5" customHeight="1" x14ac:dyDescent="0.35">
      <c r="A47" s="73"/>
      <c r="B47" s="99"/>
      <c r="D47" s="73"/>
      <c r="E47" s="73"/>
      <c r="F47" s="73"/>
    </row>
    <row r="48" spans="1:6" ht="16.5" customHeight="1" x14ac:dyDescent="0.35">
      <c r="A48" s="73"/>
      <c r="B48" s="99"/>
      <c r="D48" s="73"/>
      <c r="E48" s="73"/>
      <c r="F48" s="73"/>
    </row>
    <row r="49" spans="1:6" ht="16.5" customHeight="1" x14ac:dyDescent="0.35">
      <c r="A49" s="73"/>
      <c r="B49" s="99"/>
      <c r="D49" s="73"/>
      <c r="E49" s="73"/>
      <c r="F49" s="73"/>
    </row>
    <row r="50" spans="1:6" ht="16.5" customHeight="1" x14ac:dyDescent="0.35">
      <c r="A50" s="73"/>
      <c r="B50" s="99"/>
      <c r="D50" s="73"/>
      <c r="E50" s="73"/>
      <c r="F50" s="73"/>
    </row>
    <row r="51" spans="1:6" ht="16.5" customHeight="1" x14ac:dyDescent="0.35">
      <c r="A51" s="73"/>
      <c r="B51" s="99"/>
      <c r="D51" s="73"/>
      <c r="E51" s="73"/>
      <c r="F51" s="73"/>
    </row>
    <row r="52" spans="1:6" ht="16.5" customHeight="1" x14ac:dyDescent="0.35">
      <c r="A52" s="73"/>
      <c r="B52" s="99"/>
      <c r="D52" s="73"/>
      <c r="E52" s="73"/>
      <c r="F52" s="73"/>
    </row>
    <row r="53" spans="1:6" ht="16.5" customHeight="1" x14ac:dyDescent="0.35">
      <c r="A53" s="73"/>
      <c r="B53" s="99"/>
      <c r="D53" s="73"/>
      <c r="E53" s="73"/>
      <c r="F53" s="73"/>
    </row>
    <row r="54" spans="1:6" ht="16.5" customHeight="1" x14ac:dyDescent="0.35">
      <c r="A54" s="73"/>
      <c r="B54" s="99"/>
      <c r="D54" s="73"/>
      <c r="E54" s="73"/>
      <c r="F54" s="73"/>
    </row>
    <row r="55" spans="1:6" ht="16.5" customHeight="1" x14ac:dyDescent="0.35">
      <c r="A55" s="73"/>
      <c r="B55" s="99"/>
      <c r="D55" s="73"/>
      <c r="E55" s="73"/>
      <c r="F55" s="73"/>
    </row>
    <row r="56" spans="1:6" ht="16.5" customHeight="1" x14ac:dyDescent="0.35">
      <c r="A56" s="73"/>
      <c r="B56" s="99"/>
      <c r="D56" s="73"/>
      <c r="E56" s="73"/>
      <c r="F56" s="73"/>
    </row>
    <row r="57" spans="1:6" ht="16.5" customHeight="1" x14ac:dyDescent="0.35">
      <c r="A57" s="73"/>
      <c r="B57" s="99"/>
      <c r="D57" s="73"/>
      <c r="E57" s="73"/>
      <c r="F57" s="73"/>
    </row>
    <row r="58" spans="1:6" ht="16.5" customHeight="1" x14ac:dyDescent="0.35">
      <c r="A58" s="73"/>
      <c r="B58" s="99"/>
      <c r="D58" s="73"/>
      <c r="E58" s="73"/>
      <c r="F58" s="73"/>
    </row>
    <row r="59" spans="1:6" ht="16.5" customHeight="1" x14ac:dyDescent="0.35">
      <c r="A59" s="73"/>
      <c r="B59" s="99"/>
      <c r="D59" s="73"/>
      <c r="E59" s="73"/>
      <c r="F59" s="73"/>
    </row>
    <row r="60" spans="1:6" ht="16.5" customHeight="1" x14ac:dyDescent="0.35">
      <c r="A60" s="73"/>
      <c r="B60" s="99"/>
      <c r="D60" s="73"/>
      <c r="E60" s="73"/>
      <c r="F60" s="73"/>
    </row>
    <row r="61" spans="1:6" ht="16.5" customHeight="1" x14ac:dyDescent="0.35">
      <c r="A61" s="73"/>
      <c r="B61" s="99"/>
      <c r="D61" s="73"/>
      <c r="E61" s="73"/>
      <c r="F61" s="73"/>
    </row>
    <row r="62" spans="1:6" ht="16.5" customHeight="1" x14ac:dyDescent="0.35">
      <c r="A62" s="73"/>
      <c r="B62" s="99"/>
      <c r="D62" s="73"/>
      <c r="E62" s="73"/>
      <c r="F62" s="73"/>
    </row>
    <row r="63" spans="1:6" ht="16.5" customHeight="1" x14ac:dyDescent="0.35">
      <c r="A63" s="73"/>
      <c r="B63" s="99"/>
      <c r="D63" s="73"/>
      <c r="E63" s="73"/>
      <c r="F63" s="73"/>
    </row>
    <row r="64" spans="1:6" ht="16.5" customHeight="1" x14ac:dyDescent="0.35">
      <c r="A64" s="73"/>
      <c r="B64" s="99"/>
      <c r="D64" s="73"/>
      <c r="E64" s="73"/>
      <c r="F64" s="73"/>
    </row>
    <row r="65" spans="1:6" ht="16.5" customHeight="1" x14ac:dyDescent="0.35">
      <c r="A65" s="73"/>
      <c r="B65" s="99"/>
      <c r="D65" s="73"/>
      <c r="E65" s="73"/>
      <c r="F65" s="73"/>
    </row>
    <row r="66" spans="1:6" ht="16.5" customHeight="1" x14ac:dyDescent="0.35">
      <c r="A66" s="73"/>
      <c r="B66" s="99"/>
      <c r="D66" s="73"/>
      <c r="E66" s="73"/>
      <c r="F66" s="73"/>
    </row>
    <row r="67" spans="1:6" ht="16.5" customHeight="1" x14ac:dyDescent="0.35">
      <c r="A67" s="73"/>
      <c r="B67" s="99"/>
      <c r="D67" s="73"/>
      <c r="E67" s="73"/>
      <c r="F67" s="73"/>
    </row>
    <row r="68" spans="1:6" ht="16.5" customHeight="1" x14ac:dyDescent="0.35">
      <c r="A68" s="73"/>
      <c r="B68" s="99"/>
      <c r="D68" s="73"/>
      <c r="E68" s="73"/>
      <c r="F68" s="73"/>
    </row>
    <row r="69" spans="1:6" ht="16.5" customHeight="1" x14ac:dyDescent="0.35">
      <c r="A69" s="73"/>
      <c r="B69" s="99"/>
      <c r="D69" s="73"/>
      <c r="E69" s="73"/>
      <c r="F69" s="73"/>
    </row>
    <row r="70" spans="1:6" ht="16.5" customHeight="1" x14ac:dyDescent="0.35">
      <c r="A70" s="73"/>
      <c r="B70" s="99"/>
      <c r="D70" s="73"/>
      <c r="E70" s="73"/>
      <c r="F70" s="73"/>
    </row>
    <row r="71" spans="1:6" ht="16.5" customHeight="1" x14ac:dyDescent="0.35">
      <c r="A71" s="73"/>
      <c r="B71" s="99"/>
      <c r="D71" s="73"/>
      <c r="E71" s="73"/>
      <c r="F71" s="73"/>
    </row>
    <row r="72" spans="1:6" ht="16.5" customHeight="1" x14ac:dyDescent="0.35">
      <c r="A72" s="73"/>
      <c r="B72" s="99"/>
      <c r="D72" s="73"/>
      <c r="E72" s="73"/>
      <c r="F72" s="73"/>
    </row>
    <row r="73" spans="1:6" ht="16.5" customHeight="1" x14ac:dyDescent="0.35">
      <c r="A73" s="73"/>
      <c r="B73" s="99"/>
      <c r="D73" s="73"/>
      <c r="E73" s="73"/>
      <c r="F73" s="73"/>
    </row>
    <row r="74" spans="1:6" ht="16.5" customHeight="1" x14ac:dyDescent="0.35">
      <c r="A74" s="73"/>
      <c r="B74" s="99"/>
      <c r="D74" s="73"/>
      <c r="E74" s="73"/>
      <c r="F74" s="73"/>
    </row>
    <row r="75" spans="1:6" ht="16.5" customHeight="1" x14ac:dyDescent="0.35">
      <c r="A75" s="73"/>
      <c r="B75" s="99"/>
      <c r="D75" s="73"/>
      <c r="E75" s="73"/>
      <c r="F75" s="73"/>
    </row>
    <row r="76" spans="1:6" ht="16.5" customHeight="1" x14ac:dyDescent="0.35">
      <c r="A76" s="73"/>
      <c r="B76" s="99"/>
      <c r="D76" s="73"/>
      <c r="E76" s="73"/>
      <c r="F76" s="73"/>
    </row>
    <row r="77" spans="1:6" ht="16.5" customHeight="1" x14ac:dyDescent="0.35">
      <c r="A77" s="73"/>
      <c r="B77" s="99"/>
      <c r="D77" s="73"/>
      <c r="E77" s="73"/>
      <c r="F77" s="73"/>
    </row>
    <row r="78" spans="1:6" ht="16.5" customHeight="1" x14ac:dyDescent="0.35">
      <c r="A78" s="73"/>
      <c r="B78" s="99"/>
      <c r="D78" s="73"/>
      <c r="E78" s="73"/>
      <c r="F78" s="73"/>
    </row>
    <row r="79" spans="1:6" ht="16.5" customHeight="1" x14ac:dyDescent="0.35">
      <c r="A79" s="73"/>
      <c r="B79" s="99"/>
      <c r="D79" s="73"/>
      <c r="E79" s="73"/>
      <c r="F79" s="73"/>
    </row>
    <row r="80" spans="1:6" ht="16.5" customHeight="1" x14ac:dyDescent="0.35">
      <c r="A80" s="73"/>
      <c r="B80" s="99"/>
      <c r="D80" s="73"/>
      <c r="E80" s="73"/>
      <c r="F80" s="73"/>
    </row>
    <row r="81" spans="1:6" ht="16.5" customHeight="1" x14ac:dyDescent="0.35">
      <c r="A81" s="73"/>
      <c r="B81" s="99"/>
      <c r="D81" s="73"/>
      <c r="E81" s="73"/>
      <c r="F81" s="73"/>
    </row>
    <row r="82" spans="1:6" ht="16.5" customHeight="1" x14ac:dyDescent="0.35">
      <c r="A82" s="73"/>
      <c r="B82" s="99"/>
      <c r="D82" s="73"/>
      <c r="E82" s="73"/>
      <c r="F82" s="73"/>
    </row>
    <row r="83" spans="1:6" ht="16.5" customHeight="1" x14ac:dyDescent="0.35">
      <c r="A83" s="73"/>
      <c r="B83" s="99"/>
      <c r="D83" s="73"/>
      <c r="E83" s="73"/>
      <c r="F83" s="73"/>
    </row>
    <row r="84" spans="1:6" ht="16.5" customHeight="1" x14ac:dyDescent="0.35">
      <c r="A84" s="73"/>
      <c r="B84" s="99"/>
      <c r="D84" s="73"/>
      <c r="E84" s="73"/>
      <c r="F84" s="73"/>
    </row>
    <row r="85" spans="1:6" ht="16.5" customHeight="1" x14ac:dyDescent="0.35">
      <c r="A85" s="73"/>
      <c r="B85" s="99"/>
      <c r="D85" s="73"/>
      <c r="E85" s="73"/>
      <c r="F85" s="73"/>
    </row>
    <row r="86" spans="1:6" ht="16.5" customHeight="1" x14ac:dyDescent="0.35">
      <c r="A86" s="73"/>
      <c r="B86" s="99"/>
      <c r="D86" s="73"/>
      <c r="E86" s="73"/>
      <c r="F86" s="73"/>
    </row>
    <row r="87" spans="1:6" ht="16.5" customHeight="1" x14ac:dyDescent="0.35">
      <c r="A87" s="73"/>
      <c r="B87" s="99"/>
      <c r="D87" s="73"/>
      <c r="E87" s="73"/>
      <c r="F87" s="73"/>
    </row>
    <row r="88" spans="1:6" ht="16.5" customHeight="1" x14ac:dyDescent="0.35">
      <c r="A88" s="73"/>
      <c r="B88" s="99"/>
      <c r="D88" s="73"/>
      <c r="E88" s="73"/>
      <c r="F88" s="73"/>
    </row>
    <row r="89" spans="1:6" ht="16.5" customHeight="1" x14ac:dyDescent="0.35">
      <c r="A89" s="73"/>
      <c r="B89" s="99"/>
      <c r="D89" s="73"/>
      <c r="E89" s="73"/>
      <c r="F89" s="73"/>
    </row>
    <row r="90" spans="1:6" ht="16.5" customHeight="1" x14ac:dyDescent="0.35">
      <c r="A90" s="73"/>
      <c r="B90" s="99"/>
      <c r="D90" s="73"/>
      <c r="E90" s="73"/>
      <c r="F90" s="73"/>
    </row>
    <row r="91" spans="1:6" ht="16.5" customHeight="1" x14ac:dyDescent="0.35">
      <c r="A91" s="73"/>
      <c r="B91" s="99"/>
      <c r="D91" s="73"/>
      <c r="E91" s="73"/>
      <c r="F91" s="73"/>
    </row>
    <row r="92" spans="1:6" ht="16.5" customHeight="1" x14ac:dyDescent="0.35">
      <c r="A92" s="73"/>
      <c r="B92" s="99"/>
      <c r="D92" s="73"/>
      <c r="E92" s="73"/>
      <c r="F92" s="73"/>
    </row>
    <row r="93" spans="1:6" ht="16.5" customHeight="1" x14ac:dyDescent="0.35">
      <c r="A93" s="73"/>
      <c r="B93" s="99"/>
      <c r="D93" s="73"/>
      <c r="E93" s="73"/>
      <c r="F93" s="73"/>
    </row>
    <row r="94" spans="1:6" ht="16.5" customHeight="1" x14ac:dyDescent="0.35">
      <c r="A94" s="73"/>
      <c r="B94" s="99"/>
      <c r="D94" s="73"/>
      <c r="E94" s="73"/>
      <c r="F94" s="73"/>
    </row>
    <row r="95" spans="1:6" ht="16.5" customHeight="1" x14ac:dyDescent="0.35">
      <c r="A95" s="73"/>
      <c r="B95" s="99"/>
      <c r="D95" s="73"/>
      <c r="E95" s="73"/>
      <c r="F95" s="73"/>
    </row>
    <row r="96" spans="1:6" ht="16.5" customHeight="1" x14ac:dyDescent="0.35">
      <c r="A96" s="73"/>
      <c r="B96" s="99"/>
      <c r="D96" s="73"/>
      <c r="E96" s="73"/>
      <c r="F96" s="73"/>
    </row>
    <row r="97" spans="1:6" ht="16.5" customHeight="1" x14ac:dyDescent="0.35">
      <c r="A97" s="73"/>
      <c r="B97" s="99"/>
      <c r="D97" s="73"/>
      <c r="E97" s="73"/>
      <c r="F97" s="73"/>
    </row>
    <row r="98" spans="1:6" ht="16.5" customHeight="1" x14ac:dyDescent="0.35">
      <c r="A98" s="73"/>
      <c r="B98" s="99"/>
      <c r="D98" s="73"/>
      <c r="E98" s="73"/>
      <c r="F98" s="73"/>
    </row>
    <row r="99" spans="1:6" ht="16.5" customHeight="1" x14ac:dyDescent="0.35">
      <c r="A99" s="73"/>
      <c r="B99" s="99"/>
      <c r="D99" s="73"/>
      <c r="E99" s="73"/>
      <c r="F99" s="73"/>
    </row>
    <row r="100" spans="1:6" ht="16.5" customHeight="1" x14ac:dyDescent="0.35">
      <c r="A100" s="73"/>
      <c r="B100" s="99"/>
      <c r="D100" s="73"/>
      <c r="E100" s="73"/>
      <c r="F100" s="73"/>
    </row>
    <row r="101" spans="1:6" ht="16.5" customHeight="1" x14ac:dyDescent="0.35">
      <c r="A101" s="73"/>
      <c r="B101" s="99"/>
      <c r="D101" s="73"/>
      <c r="E101" s="73"/>
      <c r="F101" s="73"/>
    </row>
    <row r="102" spans="1:6" ht="16.5" customHeight="1" x14ac:dyDescent="0.35">
      <c r="A102" s="73"/>
      <c r="B102" s="99"/>
      <c r="D102" s="73"/>
      <c r="E102" s="73"/>
      <c r="F102" s="73"/>
    </row>
    <row r="103" spans="1:6" ht="16.5" customHeight="1" x14ac:dyDescent="0.35">
      <c r="A103" s="73"/>
      <c r="B103" s="99"/>
      <c r="D103" s="73"/>
      <c r="E103" s="73"/>
      <c r="F103" s="73"/>
    </row>
    <row r="104" spans="1:6" ht="16.5" customHeight="1" x14ac:dyDescent="0.35">
      <c r="A104" s="73"/>
      <c r="B104" s="99"/>
      <c r="D104" s="73"/>
      <c r="E104" s="73"/>
      <c r="F104" s="73"/>
    </row>
    <row r="105" spans="1:6" ht="16.5" customHeight="1" x14ac:dyDescent="0.35">
      <c r="A105" s="73"/>
      <c r="B105" s="99"/>
      <c r="D105" s="73"/>
      <c r="E105" s="73"/>
      <c r="F105" s="73"/>
    </row>
    <row r="106" spans="1:6" ht="16.5" customHeight="1" x14ac:dyDescent="0.35">
      <c r="A106" s="73"/>
      <c r="B106" s="99"/>
      <c r="D106" s="73"/>
      <c r="E106" s="73"/>
      <c r="F106" s="73"/>
    </row>
    <row r="107" spans="1:6" ht="16.5" customHeight="1" x14ac:dyDescent="0.35">
      <c r="A107" s="73"/>
      <c r="B107" s="99"/>
      <c r="D107" s="73"/>
      <c r="E107" s="73"/>
      <c r="F107" s="73"/>
    </row>
    <row r="108" spans="1:6" ht="16.5" customHeight="1" x14ac:dyDescent="0.35">
      <c r="A108" s="73"/>
      <c r="B108" s="99"/>
      <c r="D108" s="73"/>
      <c r="E108" s="73"/>
      <c r="F108" s="73"/>
    </row>
    <row r="109" spans="1:6" ht="16.5" customHeight="1" x14ac:dyDescent="0.35">
      <c r="A109" s="73"/>
      <c r="B109" s="99"/>
      <c r="D109" s="73"/>
      <c r="E109" s="73"/>
      <c r="F109" s="73"/>
    </row>
    <row r="110" spans="1:6" ht="16.5" customHeight="1" x14ac:dyDescent="0.35">
      <c r="A110" s="73"/>
      <c r="B110" s="99"/>
      <c r="D110" s="73"/>
      <c r="E110" s="73"/>
      <c r="F110" s="73"/>
    </row>
    <row r="111" spans="1:6" ht="16.5" customHeight="1" x14ac:dyDescent="0.35">
      <c r="A111" s="73"/>
      <c r="B111" s="99"/>
      <c r="D111" s="73"/>
      <c r="E111" s="73"/>
      <c r="F111" s="73"/>
    </row>
    <row r="112" spans="1:6" ht="16.5" customHeight="1" x14ac:dyDescent="0.35">
      <c r="A112" s="73"/>
      <c r="B112" s="99"/>
      <c r="D112" s="73"/>
      <c r="E112" s="73"/>
      <c r="F112" s="73"/>
    </row>
    <row r="113" spans="1:6" ht="16.5" customHeight="1" x14ac:dyDescent="0.35">
      <c r="A113" s="73"/>
      <c r="B113" s="99"/>
      <c r="D113" s="73"/>
      <c r="E113" s="73"/>
      <c r="F113" s="73"/>
    </row>
    <row r="114" spans="1:6" ht="16.5" customHeight="1" x14ac:dyDescent="0.35">
      <c r="A114" s="73"/>
      <c r="B114" s="99"/>
      <c r="D114" s="73"/>
      <c r="E114" s="73"/>
      <c r="F114" s="73"/>
    </row>
    <row r="115" spans="1:6" ht="16.5" customHeight="1" x14ac:dyDescent="0.35">
      <c r="A115" s="73"/>
      <c r="B115" s="99"/>
      <c r="D115" s="73"/>
      <c r="E115" s="73"/>
      <c r="F115" s="73"/>
    </row>
    <row r="116" spans="1:6" ht="16.5" customHeight="1" x14ac:dyDescent="0.35">
      <c r="A116" s="73"/>
      <c r="B116" s="99"/>
      <c r="D116" s="73"/>
      <c r="E116" s="73"/>
      <c r="F116" s="73"/>
    </row>
    <row r="117" spans="1:6" ht="16.5" customHeight="1" x14ac:dyDescent="0.35">
      <c r="A117" s="73"/>
      <c r="B117" s="99"/>
      <c r="D117" s="73"/>
      <c r="E117" s="73"/>
      <c r="F117" s="73"/>
    </row>
    <row r="118" spans="1:6" ht="16.5" customHeight="1" x14ac:dyDescent="0.35">
      <c r="A118" s="73"/>
      <c r="B118" s="99"/>
      <c r="D118" s="73"/>
      <c r="E118" s="73"/>
      <c r="F118" s="73"/>
    </row>
    <row r="119" spans="1:6" ht="16.5" customHeight="1" x14ac:dyDescent="0.35">
      <c r="A119" s="73"/>
      <c r="B119" s="99"/>
      <c r="D119" s="73"/>
      <c r="E119" s="73"/>
      <c r="F119" s="73"/>
    </row>
    <row r="120" spans="1:6" ht="16.5" customHeight="1" x14ac:dyDescent="0.35">
      <c r="A120" s="73"/>
      <c r="B120" s="99"/>
      <c r="D120" s="73"/>
      <c r="E120" s="73"/>
      <c r="F120" s="73"/>
    </row>
    <row r="121" spans="1:6" ht="16.5" customHeight="1" x14ac:dyDescent="0.35">
      <c r="A121" s="73"/>
      <c r="B121" s="99"/>
      <c r="D121" s="73"/>
      <c r="E121" s="73"/>
      <c r="F121" s="73"/>
    </row>
    <row r="122" spans="1:6" ht="16.5" customHeight="1" x14ac:dyDescent="0.35">
      <c r="A122" s="73"/>
      <c r="B122" s="99"/>
      <c r="D122" s="73"/>
      <c r="E122" s="73"/>
      <c r="F122" s="73"/>
    </row>
    <row r="123" spans="1:6" ht="16.5" customHeight="1" x14ac:dyDescent="0.35">
      <c r="A123" s="73"/>
      <c r="B123" s="99"/>
      <c r="D123" s="73"/>
      <c r="E123" s="73"/>
      <c r="F123" s="73"/>
    </row>
    <row r="124" spans="1:6" ht="16.5" customHeight="1" x14ac:dyDescent="0.35">
      <c r="A124" s="73"/>
      <c r="B124" s="99"/>
      <c r="D124" s="73"/>
      <c r="E124" s="73"/>
      <c r="F124" s="73"/>
    </row>
    <row r="125" spans="1:6" ht="16.5" customHeight="1" x14ac:dyDescent="0.35">
      <c r="A125" s="73"/>
      <c r="B125" s="99"/>
      <c r="D125" s="73"/>
      <c r="E125" s="73"/>
      <c r="F125" s="73"/>
    </row>
    <row r="126" spans="1:6" ht="16.5" customHeight="1" x14ac:dyDescent="0.35">
      <c r="A126" s="73"/>
      <c r="B126" s="99"/>
      <c r="D126" s="73"/>
      <c r="E126" s="73"/>
      <c r="F126" s="73"/>
    </row>
    <row r="127" spans="1:6" ht="16.5" customHeight="1" x14ac:dyDescent="0.35">
      <c r="A127" s="73"/>
      <c r="B127" s="99"/>
      <c r="D127" s="73"/>
      <c r="E127" s="73"/>
      <c r="F127" s="73"/>
    </row>
    <row r="128" spans="1:6" ht="16.5" customHeight="1" x14ac:dyDescent="0.35">
      <c r="A128" s="73"/>
      <c r="B128" s="99"/>
      <c r="D128" s="73"/>
      <c r="E128" s="73"/>
      <c r="F128" s="73"/>
    </row>
    <row r="129" spans="1:6" ht="16.5" customHeight="1" x14ac:dyDescent="0.35">
      <c r="A129" s="73"/>
      <c r="B129" s="99"/>
      <c r="D129" s="73"/>
      <c r="E129" s="73"/>
      <c r="F129" s="73"/>
    </row>
    <row r="130" spans="1:6" ht="16.5" customHeight="1" x14ac:dyDescent="0.35">
      <c r="A130" s="73"/>
      <c r="B130" s="99"/>
      <c r="D130" s="73"/>
      <c r="E130" s="73"/>
      <c r="F130" s="73"/>
    </row>
    <row r="131" spans="1:6" ht="16.5" customHeight="1" x14ac:dyDescent="0.35">
      <c r="A131" s="73"/>
      <c r="B131" s="99"/>
      <c r="D131" s="73"/>
      <c r="E131" s="73"/>
      <c r="F131" s="73"/>
    </row>
    <row r="132" spans="1:6" ht="16.5" customHeight="1" x14ac:dyDescent="0.35">
      <c r="A132" s="73"/>
      <c r="B132" s="99"/>
      <c r="D132" s="73"/>
      <c r="E132" s="73"/>
      <c r="F132" s="73"/>
    </row>
    <row r="133" spans="1:6" ht="16.5" customHeight="1" x14ac:dyDescent="0.35">
      <c r="A133" s="73"/>
      <c r="B133" s="99"/>
      <c r="D133" s="73"/>
      <c r="E133" s="73"/>
      <c r="F133" s="73"/>
    </row>
    <row r="134" spans="1:6" ht="16.5" customHeight="1" x14ac:dyDescent="0.35">
      <c r="A134" s="73"/>
      <c r="B134" s="99"/>
      <c r="D134" s="73"/>
      <c r="E134" s="73"/>
      <c r="F134" s="73"/>
    </row>
    <row r="135" spans="1:6" ht="16.5" customHeight="1" x14ac:dyDescent="0.35">
      <c r="A135" s="73"/>
      <c r="B135" s="99"/>
      <c r="D135" s="73"/>
      <c r="E135" s="73"/>
      <c r="F135" s="73"/>
    </row>
    <row r="136" spans="1:6" ht="16.5" customHeight="1" x14ac:dyDescent="0.35">
      <c r="A136" s="73"/>
      <c r="B136" s="99"/>
      <c r="D136" s="73"/>
      <c r="E136" s="73"/>
      <c r="F136" s="73"/>
    </row>
    <row r="137" spans="1:6" ht="16.5" customHeight="1" x14ac:dyDescent="0.35">
      <c r="A137" s="73"/>
      <c r="B137" s="99"/>
      <c r="D137" s="73"/>
      <c r="E137" s="73"/>
      <c r="F137" s="73"/>
    </row>
    <row r="138" spans="1:6" ht="16.5" customHeight="1" x14ac:dyDescent="0.35">
      <c r="A138" s="73"/>
      <c r="B138" s="99"/>
      <c r="D138" s="73"/>
      <c r="E138" s="73"/>
      <c r="F138" s="73"/>
    </row>
    <row r="139" spans="1:6" ht="16.5" customHeight="1" x14ac:dyDescent="0.35">
      <c r="A139" s="73"/>
      <c r="B139" s="99"/>
      <c r="D139" s="73"/>
      <c r="E139" s="73"/>
      <c r="F139" s="73"/>
    </row>
    <row r="140" spans="1:6" ht="16.5" customHeight="1" x14ac:dyDescent="0.35">
      <c r="A140" s="73"/>
      <c r="B140" s="99"/>
      <c r="D140" s="73"/>
      <c r="E140" s="73"/>
      <c r="F140" s="73"/>
    </row>
    <row r="141" spans="1:6" ht="16.5" customHeight="1" x14ac:dyDescent="0.35">
      <c r="A141" s="73"/>
      <c r="B141" s="99"/>
      <c r="D141" s="73"/>
      <c r="E141" s="73"/>
      <c r="F141" s="73"/>
    </row>
    <row r="142" spans="1:6" ht="16.5" customHeight="1" x14ac:dyDescent="0.35">
      <c r="A142" s="73"/>
      <c r="B142" s="99"/>
      <c r="D142" s="73"/>
      <c r="E142" s="73"/>
      <c r="F142" s="73"/>
    </row>
    <row r="143" spans="1:6" ht="16.5" customHeight="1" x14ac:dyDescent="0.35">
      <c r="A143" s="73"/>
      <c r="B143" s="99"/>
      <c r="D143" s="73"/>
      <c r="E143" s="73"/>
      <c r="F143" s="73"/>
    </row>
    <row r="144" spans="1:6" ht="16.5" customHeight="1" x14ac:dyDescent="0.35">
      <c r="A144" s="73"/>
      <c r="B144" s="99"/>
      <c r="D144" s="73"/>
      <c r="E144" s="73"/>
      <c r="F144" s="73"/>
    </row>
    <row r="145" spans="1:6" ht="16.5" customHeight="1" x14ac:dyDescent="0.35">
      <c r="A145" s="73"/>
      <c r="B145" s="99"/>
      <c r="D145" s="73"/>
      <c r="E145" s="73"/>
      <c r="F145" s="73"/>
    </row>
    <row r="146" spans="1:6" ht="16.5" customHeight="1" x14ac:dyDescent="0.35">
      <c r="A146" s="73"/>
      <c r="B146" s="99"/>
      <c r="D146" s="73"/>
      <c r="E146" s="73"/>
      <c r="F146" s="73"/>
    </row>
    <row r="147" spans="1:6" ht="16.5" customHeight="1" x14ac:dyDescent="0.35">
      <c r="A147" s="73"/>
      <c r="B147" s="99"/>
      <c r="D147" s="73"/>
      <c r="E147" s="73"/>
      <c r="F147" s="73"/>
    </row>
    <row r="148" spans="1:6" ht="16.5" customHeight="1" x14ac:dyDescent="0.35">
      <c r="A148" s="73"/>
      <c r="B148" s="99"/>
      <c r="D148" s="73"/>
      <c r="E148" s="73"/>
      <c r="F148" s="73"/>
    </row>
    <row r="149" spans="1:6" ht="16.5" customHeight="1" x14ac:dyDescent="0.35">
      <c r="A149" s="73"/>
      <c r="B149" s="99"/>
      <c r="D149" s="73"/>
      <c r="E149" s="73"/>
      <c r="F149" s="73"/>
    </row>
    <row r="150" spans="1:6" ht="16.5" customHeight="1" x14ac:dyDescent="0.35">
      <c r="A150" s="73"/>
      <c r="B150" s="99"/>
      <c r="D150" s="73"/>
      <c r="E150" s="73"/>
      <c r="F150" s="73"/>
    </row>
    <row r="151" spans="1:6" ht="16.5" customHeight="1" x14ac:dyDescent="0.35">
      <c r="A151" s="73"/>
      <c r="B151" s="99"/>
      <c r="D151" s="73"/>
      <c r="E151" s="73"/>
      <c r="F151" s="73"/>
    </row>
    <row r="152" spans="1:6" ht="16.5" customHeight="1" x14ac:dyDescent="0.35">
      <c r="A152" s="73"/>
      <c r="B152" s="99"/>
      <c r="D152" s="73"/>
      <c r="E152" s="73"/>
      <c r="F152" s="73"/>
    </row>
    <row r="153" spans="1:6" ht="16.5" customHeight="1" x14ac:dyDescent="0.35">
      <c r="A153" s="73"/>
      <c r="B153" s="99"/>
      <c r="D153" s="73"/>
      <c r="E153" s="73"/>
      <c r="F153" s="73"/>
    </row>
    <row r="154" spans="1:6" ht="16.5" customHeight="1" x14ac:dyDescent="0.35">
      <c r="A154" s="73"/>
      <c r="B154" s="99"/>
      <c r="D154" s="73"/>
      <c r="E154" s="73"/>
      <c r="F154" s="73"/>
    </row>
    <row r="155" spans="1:6" ht="16.5" customHeight="1" x14ac:dyDescent="0.35">
      <c r="A155" s="73"/>
      <c r="B155" s="99"/>
      <c r="D155" s="73"/>
      <c r="E155" s="73"/>
      <c r="F155" s="73"/>
    </row>
    <row r="156" spans="1:6" ht="16.5" customHeight="1" x14ac:dyDescent="0.35">
      <c r="A156" s="73"/>
      <c r="B156" s="99"/>
      <c r="D156" s="73"/>
      <c r="E156" s="73"/>
      <c r="F156" s="73"/>
    </row>
    <row r="157" spans="1:6" ht="16.5" customHeight="1" x14ac:dyDescent="0.35">
      <c r="A157" s="73"/>
      <c r="B157" s="99"/>
      <c r="D157" s="73"/>
      <c r="E157" s="73"/>
      <c r="F157" s="73"/>
    </row>
    <row r="158" spans="1:6" ht="16.5" customHeight="1" x14ac:dyDescent="0.35">
      <c r="A158" s="73"/>
      <c r="B158" s="99"/>
      <c r="D158" s="73"/>
      <c r="E158" s="73"/>
      <c r="F158" s="73"/>
    </row>
    <row r="159" spans="1:6" ht="16.5" customHeight="1" x14ac:dyDescent="0.35">
      <c r="A159" s="73"/>
      <c r="B159" s="99"/>
      <c r="D159" s="73"/>
      <c r="E159" s="73"/>
      <c r="F159" s="73"/>
    </row>
    <row r="160" spans="1:6" ht="16.5" customHeight="1" x14ac:dyDescent="0.35">
      <c r="A160" s="73"/>
      <c r="B160" s="99"/>
      <c r="D160" s="73"/>
      <c r="E160" s="73"/>
      <c r="F160" s="73"/>
    </row>
    <row r="161" spans="1:6" ht="16.5" customHeight="1" x14ac:dyDescent="0.35">
      <c r="A161" s="73"/>
      <c r="B161" s="99"/>
      <c r="D161" s="73"/>
      <c r="E161" s="73"/>
      <c r="F161" s="73"/>
    </row>
    <row r="162" spans="1:6" ht="16.5" customHeight="1" x14ac:dyDescent="0.35">
      <c r="A162" s="73"/>
      <c r="B162" s="99"/>
      <c r="D162" s="73"/>
      <c r="E162" s="73"/>
      <c r="F162" s="73"/>
    </row>
    <row r="163" spans="1:6" ht="16.5" customHeight="1" x14ac:dyDescent="0.35">
      <c r="A163" s="73"/>
      <c r="B163" s="99"/>
      <c r="D163" s="73"/>
      <c r="E163" s="73"/>
      <c r="F163" s="73"/>
    </row>
    <row r="164" spans="1:6" ht="16.5" customHeight="1" x14ac:dyDescent="0.35">
      <c r="A164" s="73"/>
      <c r="B164" s="99"/>
      <c r="D164" s="73"/>
      <c r="E164" s="73"/>
      <c r="F164" s="73"/>
    </row>
    <row r="165" spans="1:6" ht="16.5" customHeight="1" x14ac:dyDescent="0.35">
      <c r="A165" s="73"/>
      <c r="B165" s="99"/>
      <c r="D165" s="73"/>
      <c r="E165" s="73"/>
      <c r="F165" s="73"/>
    </row>
    <row r="166" spans="1:6" ht="16.5" customHeight="1" x14ac:dyDescent="0.35">
      <c r="A166" s="73"/>
      <c r="B166" s="99"/>
      <c r="D166" s="73"/>
      <c r="E166" s="73"/>
      <c r="F166" s="73"/>
    </row>
    <row r="167" spans="1:6" ht="16.5" customHeight="1" x14ac:dyDescent="0.35">
      <c r="A167" s="73"/>
      <c r="B167" s="99"/>
      <c r="D167" s="73"/>
      <c r="E167" s="73"/>
      <c r="F167" s="73"/>
    </row>
    <row r="168" spans="1:6" ht="16.5" customHeight="1" x14ac:dyDescent="0.35">
      <c r="A168" s="73"/>
      <c r="B168" s="99"/>
      <c r="D168" s="73"/>
      <c r="E168" s="73"/>
      <c r="F168" s="73"/>
    </row>
    <row r="169" spans="1:6" ht="16.5" customHeight="1" x14ac:dyDescent="0.35">
      <c r="A169" s="73"/>
      <c r="B169" s="99"/>
      <c r="D169" s="73"/>
      <c r="E169" s="73"/>
      <c r="F169" s="73"/>
    </row>
    <row r="170" spans="1:6" ht="16.5" customHeight="1" x14ac:dyDescent="0.35">
      <c r="A170" s="73"/>
      <c r="B170" s="99"/>
      <c r="D170" s="73"/>
      <c r="E170" s="73"/>
      <c r="F170" s="73"/>
    </row>
    <row r="171" spans="1:6" ht="16.5" customHeight="1" x14ac:dyDescent="0.35">
      <c r="A171" s="73"/>
      <c r="B171" s="99"/>
      <c r="D171" s="73"/>
      <c r="E171" s="73"/>
      <c r="F171" s="73"/>
    </row>
    <row r="172" spans="1:6" ht="16.5" customHeight="1" x14ac:dyDescent="0.35">
      <c r="A172" s="73"/>
      <c r="B172" s="99"/>
      <c r="D172" s="73"/>
      <c r="E172" s="73"/>
      <c r="F172" s="73"/>
    </row>
    <row r="173" spans="1:6" ht="16.5" customHeight="1" x14ac:dyDescent="0.35">
      <c r="A173" s="73"/>
      <c r="B173" s="99"/>
      <c r="D173" s="73"/>
      <c r="E173" s="73"/>
      <c r="F173" s="73"/>
    </row>
    <row r="174" spans="1:6" ht="16.5" customHeight="1" x14ac:dyDescent="0.35">
      <c r="A174" s="73"/>
      <c r="B174" s="99"/>
      <c r="D174" s="73"/>
      <c r="E174" s="73"/>
      <c r="F174" s="73"/>
    </row>
    <row r="175" spans="1:6" ht="16.5" customHeight="1" x14ac:dyDescent="0.35">
      <c r="A175" s="73"/>
      <c r="B175" s="99"/>
      <c r="D175" s="73"/>
      <c r="E175" s="73"/>
      <c r="F175" s="73"/>
    </row>
    <row r="176" spans="1:6" ht="16.5" customHeight="1" x14ac:dyDescent="0.35">
      <c r="A176" s="73"/>
      <c r="B176" s="99"/>
      <c r="D176" s="73"/>
      <c r="E176" s="73"/>
      <c r="F176" s="73"/>
    </row>
    <row r="177" spans="1:6" ht="16.5" customHeight="1" x14ac:dyDescent="0.35">
      <c r="A177" s="73"/>
      <c r="B177" s="99"/>
      <c r="D177" s="73"/>
      <c r="E177" s="73"/>
      <c r="F177" s="73"/>
    </row>
    <row r="178" spans="1:6" ht="16.5" customHeight="1" x14ac:dyDescent="0.35">
      <c r="A178" s="73"/>
      <c r="B178" s="99"/>
      <c r="D178" s="73"/>
      <c r="E178" s="73"/>
      <c r="F178" s="73"/>
    </row>
    <row r="179" spans="1:6" ht="16.5" customHeight="1" x14ac:dyDescent="0.35">
      <c r="A179" s="73"/>
      <c r="B179" s="99"/>
      <c r="D179" s="73"/>
      <c r="E179" s="73"/>
      <c r="F179" s="73"/>
    </row>
    <row r="180" spans="1:6" ht="16.5" customHeight="1" x14ac:dyDescent="0.35">
      <c r="A180" s="73"/>
      <c r="B180" s="99"/>
      <c r="D180" s="73"/>
      <c r="E180" s="73"/>
      <c r="F180" s="73"/>
    </row>
    <row r="181" spans="1:6" ht="16.5" customHeight="1" x14ac:dyDescent="0.35">
      <c r="A181" s="73"/>
      <c r="B181" s="99"/>
      <c r="D181" s="73"/>
      <c r="E181" s="73"/>
      <c r="F181" s="73"/>
    </row>
    <row r="182" spans="1:6" ht="16.5" customHeight="1" x14ac:dyDescent="0.35">
      <c r="A182" s="73"/>
      <c r="B182" s="99"/>
      <c r="D182" s="73"/>
      <c r="E182" s="73"/>
      <c r="F182" s="73"/>
    </row>
    <row r="183" spans="1:6" ht="16.5" customHeight="1" x14ac:dyDescent="0.35">
      <c r="A183" s="73"/>
      <c r="B183" s="99"/>
      <c r="D183" s="73"/>
      <c r="E183" s="73"/>
      <c r="F183" s="73"/>
    </row>
    <row r="184" spans="1:6" ht="16.5" customHeight="1" x14ac:dyDescent="0.35">
      <c r="A184" s="73"/>
      <c r="B184" s="99"/>
      <c r="D184" s="73"/>
      <c r="E184" s="73"/>
      <c r="F184" s="73"/>
    </row>
    <row r="185" spans="1:6" ht="16.5" customHeight="1" x14ac:dyDescent="0.35">
      <c r="A185" s="73"/>
      <c r="B185" s="99"/>
      <c r="D185" s="73"/>
      <c r="E185" s="73"/>
      <c r="F185" s="73"/>
    </row>
    <row r="186" spans="1:6" ht="16.5" customHeight="1" x14ac:dyDescent="0.35">
      <c r="A186" s="73"/>
      <c r="B186" s="99"/>
      <c r="D186" s="73"/>
      <c r="E186" s="73"/>
      <c r="F186" s="73"/>
    </row>
    <row r="187" spans="1:6" ht="16.5" customHeight="1" x14ac:dyDescent="0.35">
      <c r="A187" s="73"/>
      <c r="B187" s="99"/>
      <c r="D187" s="73"/>
      <c r="E187" s="73"/>
      <c r="F187" s="73"/>
    </row>
    <row r="188" spans="1:6" ht="16.5" customHeight="1" x14ac:dyDescent="0.35">
      <c r="A188" s="73"/>
      <c r="B188" s="99"/>
      <c r="D188" s="73"/>
      <c r="E188" s="73"/>
      <c r="F188" s="73"/>
    </row>
    <row r="189" spans="1:6" ht="16.5" customHeight="1" x14ac:dyDescent="0.35">
      <c r="A189" s="73"/>
      <c r="B189" s="99"/>
      <c r="D189" s="73"/>
      <c r="E189" s="73"/>
      <c r="F189" s="73"/>
    </row>
    <row r="190" spans="1:6" ht="16.5" customHeight="1" x14ac:dyDescent="0.35">
      <c r="A190" s="73"/>
      <c r="B190" s="99"/>
      <c r="D190" s="73"/>
      <c r="E190" s="73"/>
      <c r="F190" s="73"/>
    </row>
    <row r="191" spans="1:6" ht="16.5" customHeight="1" x14ac:dyDescent="0.35">
      <c r="A191" s="73"/>
      <c r="B191" s="99"/>
      <c r="D191" s="73"/>
      <c r="E191" s="73"/>
      <c r="F191" s="73"/>
    </row>
    <row r="192" spans="1:6" ht="16.5" customHeight="1" x14ac:dyDescent="0.35">
      <c r="A192" s="73"/>
      <c r="B192" s="99"/>
      <c r="D192" s="73"/>
      <c r="E192" s="73"/>
      <c r="F192" s="73"/>
    </row>
    <row r="193" spans="1:6" ht="16.5" customHeight="1" x14ac:dyDescent="0.35">
      <c r="A193" s="73"/>
      <c r="B193" s="99"/>
      <c r="D193" s="73"/>
      <c r="E193" s="73"/>
      <c r="F193" s="73"/>
    </row>
    <row r="194" spans="1:6" ht="16.5" customHeight="1" x14ac:dyDescent="0.35">
      <c r="A194" s="73"/>
      <c r="B194" s="99"/>
      <c r="D194" s="73"/>
      <c r="E194" s="73"/>
      <c r="F194" s="73"/>
    </row>
    <row r="195" spans="1:6" ht="16.5" customHeight="1" x14ac:dyDescent="0.35">
      <c r="A195" s="73"/>
      <c r="B195" s="99"/>
      <c r="D195" s="73"/>
      <c r="E195" s="73"/>
      <c r="F195" s="73"/>
    </row>
    <row r="196" spans="1:6" ht="16.5" customHeight="1" x14ac:dyDescent="0.35">
      <c r="A196" s="73"/>
      <c r="B196" s="99"/>
      <c r="D196" s="73"/>
      <c r="E196" s="73"/>
      <c r="F196" s="73"/>
    </row>
    <row r="197" spans="1:6" ht="16.5" customHeight="1" x14ac:dyDescent="0.35">
      <c r="A197" s="73"/>
      <c r="B197" s="99"/>
      <c r="D197" s="73"/>
      <c r="E197" s="73"/>
      <c r="F197" s="73"/>
    </row>
    <row r="198" spans="1:6" ht="16.5" customHeight="1" x14ac:dyDescent="0.35">
      <c r="A198" s="73"/>
      <c r="B198" s="99"/>
      <c r="D198" s="73"/>
      <c r="E198" s="73"/>
      <c r="F198" s="73"/>
    </row>
    <row r="199" spans="1:6" ht="16.5" customHeight="1" x14ac:dyDescent="0.35">
      <c r="A199" s="73"/>
      <c r="B199" s="99"/>
      <c r="D199" s="73"/>
      <c r="E199" s="73"/>
      <c r="F199" s="73"/>
    </row>
    <row r="200" spans="1:6" ht="16.5" customHeight="1" x14ac:dyDescent="0.35">
      <c r="A200" s="73"/>
      <c r="B200" s="99"/>
      <c r="D200" s="73"/>
      <c r="E200" s="73"/>
      <c r="F200" s="73"/>
    </row>
    <row r="201" spans="1:6" ht="16.5" customHeight="1" x14ac:dyDescent="0.35">
      <c r="A201" s="73"/>
      <c r="B201" s="99"/>
      <c r="D201" s="73"/>
      <c r="E201" s="73"/>
      <c r="F201" s="73"/>
    </row>
    <row r="202" spans="1:6" ht="16.5" customHeight="1" x14ac:dyDescent="0.35">
      <c r="A202" s="73"/>
      <c r="B202" s="99"/>
      <c r="D202" s="73"/>
      <c r="E202" s="73"/>
      <c r="F202" s="73"/>
    </row>
    <row r="203" spans="1:6" ht="16.5" customHeight="1" x14ac:dyDescent="0.35">
      <c r="A203" s="73"/>
      <c r="B203" s="99"/>
      <c r="D203" s="73"/>
      <c r="E203" s="73"/>
      <c r="F203" s="73"/>
    </row>
    <row r="204" spans="1:6" ht="16.5" customHeight="1" x14ac:dyDescent="0.35">
      <c r="A204" s="73"/>
      <c r="B204" s="99"/>
      <c r="D204" s="73"/>
      <c r="E204" s="73"/>
      <c r="F204" s="73"/>
    </row>
    <row r="205" spans="1:6" ht="16.5" customHeight="1" x14ac:dyDescent="0.35">
      <c r="A205" s="73"/>
      <c r="B205" s="99"/>
      <c r="D205" s="73"/>
      <c r="E205" s="73"/>
      <c r="F205" s="73"/>
    </row>
    <row r="206" spans="1:6" ht="16.5" customHeight="1" x14ac:dyDescent="0.35">
      <c r="A206" s="73"/>
      <c r="B206" s="99"/>
      <c r="D206" s="73"/>
      <c r="E206" s="73"/>
      <c r="F206" s="73"/>
    </row>
    <row r="207" spans="1:6" ht="16.5" customHeight="1" x14ac:dyDescent="0.35">
      <c r="A207" s="73"/>
      <c r="B207" s="99"/>
      <c r="D207" s="73"/>
      <c r="E207" s="73"/>
      <c r="F207" s="73"/>
    </row>
    <row r="208" spans="1:6" ht="16.5" customHeight="1" x14ac:dyDescent="0.35">
      <c r="A208" s="73"/>
      <c r="B208" s="99"/>
      <c r="D208" s="73"/>
      <c r="E208" s="73"/>
      <c r="F208" s="73"/>
    </row>
    <row r="209" spans="1:6" ht="16.5" customHeight="1" x14ac:dyDescent="0.35">
      <c r="A209" s="73"/>
      <c r="B209" s="99"/>
      <c r="D209" s="73"/>
      <c r="E209" s="73"/>
      <c r="F209" s="73"/>
    </row>
    <row r="210" spans="1:6" ht="16.5" customHeight="1" x14ac:dyDescent="0.35">
      <c r="A210" s="73"/>
      <c r="B210" s="99"/>
      <c r="D210" s="73"/>
      <c r="E210" s="73"/>
      <c r="F210" s="73"/>
    </row>
    <row r="211" spans="1:6" ht="16.5" customHeight="1" x14ac:dyDescent="0.35">
      <c r="A211" s="73"/>
      <c r="B211" s="99"/>
      <c r="D211" s="73"/>
      <c r="E211" s="73"/>
      <c r="F211" s="73"/>
    </row>
    <row r="212" spans="1:6" ht="16.5" customHeight="1" x14ac:dyDescent="0.35">
      <c r="A212" s="73"/>
      <c r="B212" s="99"/>
      <c r="D212" s="73"/>
      <c r="E212" s="73"/>
      <c r="F212" s="73"/>
    </row>
    <row r="213" spans="1:6" ht="16.5" customHeight="1" x14ac:dyDescent="0.35">
      <c r="A213" s="73"/>
      <c r="B213" s="99"/>
      <c r="D213" s="73"/>
      <c r="E213" s="73"/>
      <c r="F213" s="73"/>
    </row>
    <row r="214" spans="1:6" ht="16.5" customHeight="1" x14ac:dyDescent="0.35">
      <c r="A214" s="73"/>
      <c r="B214" s="99"/>
      <c r="D214" s="73"/>
      <c r="E214" s="73"/>
      <c r="F214" s="73"/>
    </row>
    <row r="215" spans="1:6" ht="16.5" customHeight="1" x14ac:dyDescent="0.35">
      <c r="A215" s="73"/>
      <c r="B215" s="99"/>
      <c r="D215" s="73"/>
      <c r="E215" s="73"/>
      <c r="F215" s="73"/>
    </row>
    <row r="216" spans="1:6" ht="16.5" customHeight="1" x14ac:dyDescent="0.35">
      <c r="A216" s="73"/>
      <c r="B216" s="99"/>
      <c r="D216" s="73"/>
      <c r="E216" s="73"/>
      <c r="F216" s="73"/>
    </row>
    <row r="217" spans="1:6" ht="16.5" customHeight="1" x14ac:dyDescent="0.35">
      <c r="A217" s="73"/>
      <c r="B217" s="99"/>
      <c r="D217" s="73"/>
      <c r="E217" s="73"/>
      <c r="F217" s="73"/>
    </row>
    <row r="218" spans="1:6" ht="16.5" customHeight="1" x14ac:dyDescent="0.35">
      <c r="A218" s="73"/>
      <c r="B218" s="99"/>
      <c r="D218" s="73"/>
      <c r="E218" s="73"/>
      <c r="F218" s="73"/>
    </row>
    <row r="219" spans="1:6" ht="16.5" customHeight="1" x14ac:dyDescent="0.35">
      <c r="A219" s="73"/>
      <c r="B219" s="99"/>
      <c r="D219" s="73"/>
      <c r="E219" s="73"/>
      <c r="F219" s="73"/>
    </row>
    <row r="220" spans="1:6" ht="16.5" customHeight="1" x14ac:dyDescent="0.35">
      <c r="A220" s="73"/>
      <c r="B220" s="99"/>
      <c r="D220" s="73"/>
      <c r="E220" s="73"/>
      <c r="F220" s="73"/>
    </row>
    <row r="221" spans="1:6" ht="16.5" customHeight="1" x14ac:dyDescent="0.35">
      <c r="A221" s="73"/>
      <c r="B221" s="99"/>
      <c r="D221" s="73"/>
      <c r="E221" s="73"/>
      <c r="F221" s="73"/>
    </row>
    <row r="222" spans="1:6" ht="16.5" customHeight="1" x14ac:dyDescent="0.35">
      <c r="A222" s="73"/>
      <c r="B222" s="99"/>
      <c r="D222" s="73"/>
      <c r="E222" s="73"/>
      <c r="F222" s="73"/>
    </row>
    <row r="223" spans="1:6" ht="16.5" customHeight="1" x14ac:dyDescent="0.35">
      <c r="A223" s="73"/>
      <c r="B223" s="99"/>
      <c r="D223" s="73"/>
      <c r="E223" s="73"/>
      <c r="F223" s="73"/>
    </row>
    <row r="224" spans="1:6" ht="16.5" customHeight="1" x14ac:dyDescent="0.35">
      <c r="A224" s="73"/>
      <c r="B224" s="99"/>
      <c r="D224" s="73"/>
      <c r="E224" s="73"/>
      <c r="F224" s="73"/>
    </row>
    <row r="225" spans="1:6" ht="16.5" customHeight="1" x14ac:dyDescent="0.35">
      <c r="A225" s="73"/>
      <c r="B225" s="99"/>
      <c r="D225" s="73"/>
      <c r="E225" s="73"/>
      <c r="F225" s="73"/>
    </row>
    <row r="226" spans="1:6" ht="16.5" customHeight="1" x14ac:dyDescent="0.35">
      <c r="A226" s="73"/>
      <c r="B226" s="99"/>
      <c r="D226" s="73"/>
      <c r="E226" s="73"/>
      <c r="F226" s="73"/>
    </row>
    <row r="227" spans="1:6" ht="16.5" customHeight="1" x14ac:dyDescent="0.35">
      <c r="A227" s="73"/>
      <c r="B227" s="99"/>
      <c r="D227" s="73"/>
      <c r="E227" s="73"/>
      <c r="F227" s="73"/>
    </row>
    <row r="228" spans="1:6" ht="16.5" customHeight="1" x14ac:dyDescent="0.35">
      <c r="A228" s="73"/>
      <c r="B228" s="99"/>
      <c r="D228" s="73"/>
      <c r="E228" s="73"/>
      <c r="F228" s="73"/>
    </row>
    <row r="229" spans="1:6" ht="15.75" customHeight="1" x14ac:dyDescent="0.35"/>
    <row r="230" spans="1:6" ht="15.75" customHeight="1" x14ac:dyDescent="0.35"/>
    <row r="231" spans="1:6" ht="15.75" customHeight="1" x14ac:dyDescent="0.35"/>
    <row r="232" spans="1:6" ht="15.75" customHeight="1" x14ac:dyDescent="0.35"/>
    <row r="233" spans="1:6" ht="15.75" customHeight="1" x14ac:dyDescent="0.35"/>
    <row r="234" spans="1:6" ht="15.75" customHeight="1" x14ac:dyDescent="0.35"/>
    <row r="235" spans="1:6" ht="15.75" customHeight="1" x14ac:dyDescent="0.35"/>
    <row r="236" spans="1:6" ht="15.75" customHeight="1" x14ac:dyDescent="0.35"/>
    <row r="237" spans="1:6" ht="15.75" customHeight="1" x14ac:dyDescent="0.35"/>
    <row r="238" spans="1:6" ht="15.75" customHeight="1" x14ac:dyDescent="0.35"/>
    <row r="239" spans="1:6" ht="15.75" customHeight="1" x14ac:dyDescent="0.35"/>
    <row r="240" spans="1:6"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4">
    <mergeCell ref="B1:F1"/>
    <mergeCell ref="B2:F2"/>
    <mergeCell ref="B9:F9"/>
    <mergeCell ref="B17:F17"/>
  </mergeCells>
  <printOptions horizontalCentered="1"/>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G1000"/>
  <sheetViews>
    <sheetView workbookViewId="0"/>
  </sheetViews>
  <sheetFormatPr defaultColWidth="14.453125" defaultRowHeight="15" customHeight="1" x14ac:dyDescent="0.35"/>
  <cols>
    <col min="1" max="1" width="4.453125" customWidth="1"/>
    <col min="2" max="7" width="3.453125" customWidth="1"/>
  </cols>
  <sheetData>
    <row r="1" spans="1:7" ht="16.5" customHeight="1" x14ac:dyDescent="0.35">
      <c r="B1" s="73"/>
      <c r="C1" s="130" t="s">
        <v>300</v>
      </c>
      <c r="D1" s="130" t="s">
        <v>389</v>
      </c>
      <c r="E1" s="130" t="s">
        <v>390</v>
      </c>
      <c r="F1" s="130" t="s">
        <v>391</v>
      </c>
      <c r="G1" s="130" t="s">
        <v>304</v>
      </c>
    </row>
    <row r="2" spans="1:7" ht="16.5" customHeight="1" x14ac:dyDescent="0.35">
      <c r="A2" s="222" t="s">
        <v>392</v>
      </c>
      <c r="B2" s="131">
        <v>5</v>
      </c>
      <c r="C2" s="132">
        <f t="shared" ref="C2:G2" si="0">$B2*C$7</f>
        <v>5</v>
      </c>
      <c r="D2" s="133">
        <f t="shared" si="0"/>
        <v>10</v>
      </c>
      <c r="E2" s="134">
        <f t="shared" si="0"/>
        <v>15</v>
      </c>
      <c r="F2" s="135">
        <f t="shared" si="0"/>
        <v>20</v>
      </c>
      <c r="G2" s="136">
        <f t="shared" si="0"/>
        <v>25</v>
      </c>
    </row>
    <row r="3" spans="1:7" ht="16.5" customHeight="1" x14ac:dyDescent="0.35">
      <c r="A3" s="223"/>
      <c r="B3" s="137">
        <v>4</v>
      </c>
      <c r="C3" s="138">
        <f t="shared" ref="C3:G3" si="1">$B3*C$7</f>
        <v>4</v>
      </c>
      <c r="D3" s="139">
        <f t="shared" si="1"/>
        <v>8</v>
      </c>
      <c r="E3" s="140">
        <f t="shared" si="1"/>
        <v>12</v>
      </c>
      <c r="F3" s="140">
        <f t="shared" si="1"/>
        <v>16</v>
      </c>
      <c r="G3" s="141">
        <f t="shared" si="1"/>
        <v>20</v>
      </c>
    </row>
    <row r="4" spans="1:7" ht="16.5" customHeight="1" x14ac:dyDescent="0.35">
      <c r="A4" s="223"/>
      <c r="B4" s="137">
        <v>3</v>
      </c>
      <c r="C4" s="138">
        <f t="shared" ref="C4:G4" si="2">$B4*C$7</f>
        <v>3</v>
      </c>
      <c r="D4" s="139">
        <f t="shared" si="2"/>
        <v>6</v>
      </c>
      <c r="E4" s="139">
        <f t="shared" si="2"/>
        <v>9</v>
      </c>
      <c r="F4" s="140">
        <f t="shared" si="2"/>
        <v>12</v>
      </c>
      <c r="G4" s="142">
        <f t="shared" si="2"/>
        <v>15</v>
      </c>
    </row>
    <row r="5" spans="1:7" ht="16.5" customHeight="1" x14ac:dyDescent="0.35">
      <c r="A5" s="223"/>
      <c r="B5" s="137">
        <v>2</v>
      </c>
      <c r="C5" s="143">
        <f t="shared" ref="C5:G5" si="3">$B5*C$7</f>
        <v>2</v>
      </c>
      <c r="D5" s="144">
        <f t="shared" si="3"/>
        <v>4</v>
      </c>
      <c r="E5" s="139">
        <f t="shared" si="3"/>
        <v>6</v>
      </c>
      <c r="F5" s="139">
        <f t="shared" si="3"/>
        <v>8</v>
      </c>
      <c r="G5" s="145">
        <f t="shared" si="3"/>
        <v>10</v>
      </c>
    </row>
    <row r="6" spans="1:7" ht="16.5" customHeight="1" x14ac:dyDescent="0.35">
      <c r="A6" s="223"/>
      <c r="B6" s="146">
        <v>1</v>
      </c>
      <c r="C6" s="147">
        <f t="shared" ref="C6:G6" si="4">$B6*C$7</f>
        <v>1</v>
      </c>
      <c r="D6" s="148">
        <f t="shared" si="4"/>
        <v>2</v>
      </c>
      <c r="E6" s="149">
        <f t="shared" si="4"/>
        <v>3</v>
      </c>
      <c r="F6" s="149">
        <f t="shared" si="4"/>
        <v>4</v>
      </c>
      <c r="G6" s="150">
        <f t="shared" si="4"/>
        <v>5</v>
      </c>
    </row>
    <row r="7" spans="1:7" ht="16.5" customHeight="1" x14ac:dyDescent="0.35">
      <c r="A7" s="52"/>
      <c r="B7" s="151"/>
      <c r="C7" s="152">
        <v>1</v>
      </c>
      <c r="D7" s="153">
        <v>2</v>
      </c>
      <c r="E7" s="153">
        <v>3</v>
      </c>
      <c r="F7" s="153">
        <v>4</v>
      </c>
      <c r="G7" s="154">
        <v>5</v>
      </c>
    </row>
    <row r="8" spans="1:7" ht="16.5" customHeight="1" x14ac:dyDescent="0.35">
      <c r="A8" s="52"/>
      <c r="B8" s="155"/>
      <c r="C8" s="224" t="s">
        <v>393</v>
      </c>
      <c r="D8" s="223"/>
      <c r="E8" s="223"/>
      <c r="F8" s="223"/>
      <c r="G8" s="223"/>
    </row>
    <row r="9" spans="1:7" ht="16.5" customHeight="1" x14ac:dyDescent="0.35">
      <c r="B9" s="73"/>
      <c r="C9" s="73"/>
      <c r="D9" s="73"/>
      <c r="E9" s="73"/>
      <c r="F9" s="73"/>
      <c r="G9" s="73"/>
    </row>
    <row r="10" spans="1:7" ht="16.5" customHeight="1" x14ac:dyDescent="0.35">
      <c r="A10" s="222" t="s">
        <v>392</v>
      </c>
      <c r="B10" s="131">
        <v>5</v>
      </c>
      <c r="C10" s="156">
        <f t="shared" ref="C10:G10" si="5">-C2</f>
        <v>-5</v>
      </c>
      <c r="D10" s="157">
        <f t="shared" si="5"/>
        <v>-10</v>
      </c>
      <c r="E10" s="158">
        <f t="shared" si="5"/>
        <v>-15</v>
      </c>
      <c r="F10" s="159">
        <f t="shared" si="5"/>
        <v>-20</v>
      </c>
      <c r="G10" s="160">
        <f t="shared" si="5"/>
        <v>-25</v>
      </c>
    </row>
    <row r="11" spans="1:7" ht="16.5" customHeight="1" x14ac:dyDescent="0.35">
      <c r="A11" s="223"/>
      <c r="B11" s="137">
        <v>4</v>
      </c>
      <c r="C11" s="161">
        <f t="shared" ref="C11:G11" si="6">-C3</f>
        <v>-4</v>
      </c>
      <c r="D11" s="162">
        <f t="shared" si="6"/>
        <v>-8</v>
      </c>
      <c r="E11" s="163">
        <f t="shared" si="6"/>
        <v>-12</v>
      </c>
      <c r="F11" s="163">
        <f t="shared" si="6"/>
        <v>-16</v>
      </c>
      <c r="G11" s="164">
        <f t="shared" si="6"/>
        <v>-20</v>
      </c>
    </row>
    <row r="12" spans="1:7" ht="16.5" customHeight="1" x14ac:dyDescent="0.35">
      <c r="A12" s="223"/>
      <c r="B12" s="137">
        <v>3</v>
      </c>
      <c r="C12" s="161">
        <f t="shared" ref="C12:G12" si="7">-C4</f>
        <v>-3</v>
      </c>
      <c r="D12" s="162">
        <f t="shared" si="7"/>
        <v>-6</v>
      </c>
      <c r="E12" s="162">
        <f t="shared" si="7"/>
        <v>-9</v>
      </c>
      <c r="F12" s="163">
        <f t="shared" si="7"/>
        <v>-12</v>
      </c>
      <c r="G12" s="165">
        <f t="shared" si="7"/>
        <v>-15</v>
      </c>
    </row>
    <row r="13" spans="1:7" ht="16.5" customHeight="1" x14ac:dyDescent="0.35">
      <c r="A13" s="223"/>
      <c r="B13" s="137">
        <v>2</v>
      </c>
      <c r="C13" s="166">
        <f t="shared" ref="C13:G13" si="8">-C5</f>
        <v>-2</v>
      </c>
      <c r="D13" s="167">
        <f t="shared" si="8"/>
        <v>-4</v>
      </c>
      <c r="E13" s="162">
        <f t="shared" si="8"/>
        <v>-6</v>
      </c>
      <c r="F13" s="162">
        <f t="shared" si="8"/>
        <v>-8</v>
      </c>
      <c r="G13" s="168">
        <f t="shared" si="8"/>
        <v>-10</v>
      </c>
    </row>
    <row r="14" spans="1:7" ht="16.5" customHeight="1" x14ac:dyDescent="0.35">
      <c r="A14" s="223"/>
      <c r="B14" s="137">
        <v>1</v>
      </c>
      <c r="C14" s="169">
        <f t="shared" ref="C14:G14" si="9">-C6</f>
        <v>-1</v>
      </c>
      <c r="D14" s="170">
        <f t="shared" si="9"/>
        <v>-2</v>
      </c>
      <c r="E14" s="171">
        <f t="shared" si="9"/>
        <v>-3</v>
      </c>
      <c r="F14" s="171">
        <f t="shared" si="9"/>
        <v>-4</v>
      </c>
      <c r="G14" s="172">
        <f t="shared" si="9"/>
        <v>-5</v>
      </c>
    </row>
    <row r="15" spans="1:7" ht="16.5" customHeight="1" x14ac:dyDescent="0.35">
      <c r="A15" s="52"/>
      <c r="B15" s="151"/>
      <c r="C15" s="152">
        <v>1</v>
      </c>
      <c r="D15" s="153">
        <v>2</v>
      </c>
      <c r="E15" s="153">
        <v>3</v>
      </c>
      <c r="F15" s="153">
        <v>4</v>
      </c>
      <c r="G15" s="154">
        <v>5</v>
      </c>
    </row>
    <row r="16" spans="1:7" ht="16.5" customHeight="1" x14ac:dyDescent="0.35">
      <c r="A16" s="52"/>
      <c r="B16" s="155"/>
      <c r="C16" s="224" t="s">
        <v>393</v>
      </c>
      <c r="D16" s="223"/>
      <c r="E16" s="223"/>
      <c r="F16" s="223"/>
      <c r="G16" s="223"/>
    </row>
    <row r="17" spans="2:7" ht="16.5" customHeight="1" x14ac:dyDescent="0.35">
      <c r="B17" s="73"/>
      <c r="C17" s="73"/>
      <c r="D17" s="73"/>
      <c r="E17" s="73"/>
      <c r="F17" s="73"/>
      <c r="G17" s="73"/>
    </row>
    <row r="18" spans="2:7" ht="16.5" customHeight="1" x14ac:dyDescent="0.35">
      <c r="B18" s="73"/>
      <c r="C18" s="73"/>
      <c r="D18" s="73"/>
      <c r="E18" s="73"/>
      <c r="F18" s="73"/>
      <c r="G18" s="73"/>
    </row>
    <row r="19" spans="2:7" ht="16.5" customHeight="1" x14ac:dyDescent="0.35">
      <c r="B19" s="73"/>
      <c r="C19" s="73"/>
      <c r="D19" s="73"/>
      <c r="E19" s="73"/>
      <c r="F19" s="73"/>
      <c r="G19" s="73"/>
    </row>
    <row r="20" spans="2:7" ht="16.5" customHeight="1" x14ac:dyDescent="0.35">
      <c r="B20" s="73"/>
      <c r="C20" s="73"/>
      <c r="D20" s="73"/>
      <c r="E20" s="73"/>
      <c r="F20" s="73"/>
      <c r="G20" s="73"/>
    </row>
    <row r="21" spans="2:7" ht="16.5" customHeight="1" x14ac:dyDescent="0.35">
      <c r="B21" s="73"/>
      <c r="C21" s="73"/>
      <c r="D21" s="73"/>
      <c r="E21" s="73"/>
      <c r="F21" s="73"/>
      <c r="G21" s="73"/>
    </row>
    <row r="22" spans="2:7" ht="16.5" customHeight="1" x14ac:dyDescent="0.35">
      <c r="B22" s="73"/>
      <c r="C22" s="73"/>
      <c r="D22" s="73"/>
      <c r="E22" s="73"/>
      <c r="F22" s="73"/>
      <c r="G22" s="73"/>
    </row>
    <row r="23" spans="2:7" ht="16.5" customHeight="1" x14ac:dyDescent="0.35">
      <c r="B23" s="73"/>
      <c r="C23" s="73"/>
      <c r="D23" s="73"/>
      <c r="E23" s="73"/>
      <c r="F23" s="73"/>
      <c r="G23" s="73"/>
    </row>
    <row r="24" spans="2:7" ht="16.5" customHeight="1" x14ac:dyDescent="0.35">
      <c r="B24" s="73"/>
      <c r="C24" s="73"/>
      <c r="D24" s="73"/>
      <c r="E24" s="73"/>
      <c r="F24" s="73"/>
      <c r="G24" s="73"/>
    </row>
    <row r="25" spans="2:7" ht="16.5" customHeight="1" x14ac:dyDescent="0.35">
      <c r="B25" s="73"/>
      <c r="C25" s="73"/>
      <c r="D25" s="73"/>
      <c r="E25" s="73"/>
      <c r="F25" s="73"/>
      <c r="G25" s="73"/>
    </row>
    <row r="26" spans="2:7" ht="16.5" customHeight="1" x14ac:dyDescent="0.35">
      <c r="B26" s="73"/>
      <c r="C26" s="73"/>
      <c r="D26" s="73"/>
      <c r="E26" s="73"/>
      <c r="F26" s="73"/>
      <c r="G26" s="73"/>
    </row>
    <row r="27" spans="2:7" ht="16.5" customHeight="1" x14ac:dyDescent="0.35">
      <c r="B27" s="73"/>
      <c r="C27" s="73"/>
      <c r="D27" s="73"/>
      <c r="E27" s="73"/>
      <c r="F27" s="73"/>
      <c r="G27" s="73"/>
    </row>
    <row r="28" spans="2:7" ht="16.5" customHeight="1" x14ac:dyDescent="0.35">
      <c r="B28" s="73"/>
      <c r="C28" s="73"/>
      <c r="D28" s="73"/>
      <c r="E28" s="73"/>
      <c r="F28" s="73"/>
      <c r="G28" s="73"/>
    </row>
    <row r="29" spans="2:7" ht="16.5" customHeight="1" x14ac:dyDescent="0.35">
      <c r="B29" s="73"/>
      <c r="C29" s="73"/>
      <c r="D29" s="73"/>
      <c r="E29" s="73"/>
      <c r="F29" s="73"/>
      <c r="G29" s="73"/>
    </row>
    <row r="30" spans="2:7" ht="16.5" customHeight="1" x14ac:dyDescent="0.35">
      <c r="B30" s="73"/>
      <c r="C30" s="73"/>
      <c r="D30" s="73"/>
      <c r="E30" s="73"/>
      <c r="F30" s="73"/>
      <c r="G30" s="73"/>
    </row>
    <row r="31" spans="2:7" ht="16.5" customHeight="1" x14ac:dyDescent="0.35">
      <c r="B31" s="73"/>
      <c r="C31" s="73"/>
      <c r="D31" s="73"/>
      <c r="E31" s="73"/>
      <c r="F31" s="73"/>
      <c r="G31" s="73"/>
    </row>
    <row r="32" spans="2:7" ht="16.5" customHeight="1" x14ac:dyDescent="0.35">
      <c r="B32" s="73"/>
      <c r="C32" s="73"/>
      <c r="D32" s="73"/>
      <c r="E32" s="73"/>
      <c r="F32" s="73"/>
      <c r="G32" s="73"/>
    </row>
    <row r="33" spans="2:7" ht="16.5" customHeight="1" x14ac:dyDescent="0.35">
      <c r="B33" s="73"/>
      <c r="C33" s="73"/>
      <c r="D33" s="73"/>
      <c r="E33" s="73"/>
      <c r="F33" s="73"/>
      <c r="G33" s="73"/>
    </row>
    <row r="34" spans="2:7" ht="16.5" customHeight="1" x14ac:dyDescent="0.35">
      <c r="B34" s="73"/>
      <c r="C34" s="73"/>
      <c r="D34" s="73"/>
      <c r="E34" s="73"/>
      <c r="F34" s="73"/>
      <c r="G34" s="73"/>
    </row>
    <row r="35" spans="2:7" ht="16.5" customHeight="1" x14ac:dyDescent="0.35">
      <c r="B35" s="73"/>
      <c r="C35" s="73"/>
      <c r="D35" s="73"/>
      <c r="E35" s="73"/>
      <c r="F35" s="73"/>
      <c r="G35" s="73"/>
    </row>
    <row r="36" spans="2:7" ht="16.5" customHeight="1" x14ac:dyDescent="0.35">
      <c r="B36" s="73"/>
      <c r="C36" s="73"/>
      <c r="D36" s="73"/>
      <c r="E36" s="73"/>
      <c r="F36" s="73"/>
      <c r="G36" s="73"/>
    </row>
    <row r="37" spans="2:7" ht="16.5" customHeight="1" x14ac:dyDescent="0.35">
      <c r="B37" s="73"/>
      <c r="C37" s="73"/>
      <c r="D37" s="73"/>
      <c r="E37" s="73"/>
      <c r="F37" s="73"/>
      <c r="G37" s="73"/>
    </row>
    <row r="38" spans="2:7" ht="16.5" customHeight="1" x14ac:dyDescent="0.35">
      <c r="B38" s="73"/>
      <c r="C38" s="73"/>
      <c r="D38" s="73"/>
      <c r="E38" s="73"/>
      <c r="F38" s="73"/>
      <c r="G38" s="73"/>
    </row>
    <row r="39" spans="2:7" ht="16.5" customHeight="1" x14ac:dyDescent="0.35">
      <c r="B39" s="73"/>
      <c r="C39" s="73"/>
      <c r="D39" s="73"/>
      <c r="E39" s="73"/>
      <c r="F39" s="73"/>
      <c r="G39" s="73"/>
    </row>
    <row r="40" spans="2:7" ht="16.5" customHeight="1" x14ac:dyDescent="0.35">
      <c r="B40" s="73"/>
      <c r="C40" s="73"/>
      <c r="D40" s="73"/>
      <c r="E40" s="73"/>
      <c r="F40" s="73"/>
      <c r="G40" s="73"/>
    </row>
    <row r="41" spans="2:7" ht="16.5" customHeight="1" x14ac:dyDescent="0.35">
      <c r="B41" s="73"/>
      <c r="C41" s="73"/>
      <c r="D41" s="73"/>
      <c r="E41" s="73"/>
      <c r="F41" s="73"/>
      <c r="G41" s="73"/>
    </row>
    <row r="42" spans="2:7" ht="16.5" customHeight="1" x14ac:dyDescent="0.35">
      <c r="B42" s="73"/>
      <c r="C42" s="73"/>
      <c r="D42" s="73"/>
      <c r="E42" s="73"/>
      <c r="F42" s="73"/>
      <c r="G42" s="73"/>
    </row>
    <row r="43" spans="2:7" ht="16.5" customHeight="1" x14ac:dyDescent="0.35">
      <c r="B43" s="73"/>
      <c r="C43" s="73"/>
      <c r="D43" s="73"/>
      <c r="E43" s="73"/>
      <c r="F43" s="73"/>
      <c r="G43" s="73"/>
    </row>
    <row r="44" spans="2:7" ht="16.5" customHeight="1" x14ac:dyDescent="0.35">
      <c r="B44" s="73"/>
      <c r="C44" s="73"/>
      <c r="D44" s="73"/>
      <c r="E44" s="73"/>
      <c r="F44" s="73"/>
      <c r="G44" s="73"/>
    </row>
    <row r="45" spans="2:7" ht="16.5" customHeight="1" x14ac:dyDescent="0.35">
      <c r="B45" s="73"/>
      <c r="C45" s="73"/>
      <c r="D45" s="73"/>
      <c r="E45" s="73"/>
      <c r="F45" s="73"/>
      <c r="G45" s="73"/>
    </row>
    <row r="46" spans="2:7" ht="16.5" customHeight="1" x14ac:dyDescent="0.35">
      <c r="B46" s="73"/>
      <c r="C46" s="73"/>
      <c r="D46" s="73"/>
      <c r="E46" s="73"/>
      <c r="F46" s="73"/>
      <c r="G46" s="73"/>
    </row>
    <row r="47" spans="2:7" ht="16.5" customHeight="1" x14ac:dyDescent="0.35">
      <c r="B47" s="73"/>
      <c r="C47" s="73"/>
      <c r="D47" s="73"/>
      <c r="E47" s="73"/>
      <c r="F47" s="73"/>
      <c r="G47" s="73"/>
    </row>
    <row r="48" spans="2:7" ht="16.5" customHeight="1" x14ac:dyDescent="0.35">
      <c r="B48" s="73"/>
      <c r="C48" s="73"/>
      <c r="D48" s="73"/>
      <c r="E48" s="73"/>
      <c r="F48" s="73"/>
      <c r="G48" s="73"/>
    </row>
    <row r="49" spans="2:7" ht="16.5" customHeight="1" x14ac:dyDescent="0.35">
      <c r="B49" s="73"/>
      <c r="C49" s="73"/>
      <c r="D49" s="73"/>
      <c r="E49" s="73"/>
      <c r="F49" s="73"/>
      <c r="G49" s="73"/>
    </row>
    <row r="50" spans="2:7" ht="16.5" customHeight="1" x14ac:dyDescent="0.35">
      <c r="B50" s="73"/>
      <c r="C50" s="73"/>
      <c r="D50" s="73"/>
      <c r="E50" s="73"/>
      <c r="F50" s="73"/>
      <c r="G50" s="73"/>
    </row>
    <row r="51" spans="2:7" ht="16.5" customHeight="1" x14ac:dyDescent="0.35">
      <c r="B51" s="73"/>
      <c r="C51" s="73"/>
      <c r="D51" s="73"/>
      <c r="E51" s="73"/>
      <c r="F51" s="73"/>
      <c r="G51" s="73"/>
    </row>
    <row r="52" spans="2:7" ht="16.5" customHeight="1" x14ac:dyDescent="0.35">
      <c r="B52" s="73"/>
      <c r="C52" s="73"/>
      <c r="D52" s="73"/>
      <c r="E52" s="73"/>
      <c r="F52" s="73"/>
      <c r="G52" s="73"/>
    </row>
    <row r="53" spans="2:7" ht="16.5" customHeight="1" x14ac:dyDescent="0.35">
      <c r="B53" s="73"/>
      <c r="C53" s="73"/>
      <c r="D53" s="73"/>
      <c r="E53" s="73"/>
      <c r="F53" s="73"/>
      <c r="G53" s="73"/>
    </row>
    <row r="54" spans="2:7" ht="16.5" customHeight="1" x14ac:dyDescent="0.35">
      <c r="B54" s="73"/>
      <c r="C54" s="73"/>
      <c r="D54" s="73"/>
      <c r="E54" s="73"/>
      <c r="F54" s="73"/>
      <c r="G54" s="73"/>
    </row>
    <row r="55" spans="2:7" ht="16.5" customHeight="1" x14ac:dyDescent="0.35">
      <c r="B55" s="73"/>
      <c r="C55" s="73"/>
      <c r="D55" s="73"/>
      <c r="E55" s="73"/>
      <c r="F55" s="73"/>
      <c r="G55" s="73"/>
    </row>
    <row r="56" spans="2:7" ht="16.5" customHeight="1" x14ac:dyDescent="0.35">
      <c r="B56" s="73"/>
      <c r="C56" s="73"/>
      <c r="D56" s="73"/>
      <c r="E56" s="73"/>
      <c r="F56" s="73"/>
      <c r="G56" s="73"/>
    </row>
    <row r="57" spans="2:7" ht="16.5" customHeight="1" x14ac:dyDescent="0.35">
      <c r="B57" s="73"/>
      <c r="C57" s="73"/>
      <c r="D57" s="73"/>
      <c r="E57" s="73"/>
      <c r="F57" s="73"/>
      <c r="G57" s="73"/>
    </row>
    <row r="58" spans="2:7" ht="16.5" customHeight="1" x14ac:dyDescent="0.35">
      <c r="B58" s="73"/>
      <c r="C58" s="73"/>
      <c r="D58" s="73"/>
      <c r="E58" s="73"/>
      <c r="F58" s="73"/>
      <c r="G58" s="73"/>
    </row>
    <row r="59" spans="2:7" ht="16.5" customHeight="1" x14ac:dyDescent="0.35">
      <c r="B59" s="73"/>
      <c r="C59" s="73"/>
      <c r="D59" s="73"/>
      <c r="E59" s="73"/>
      <c r="F59" s="73"/>
      <c r="G59" s="73"/>
    </row>
    <row r="60" spans="2:7" ht="16.5" customHeight="1" x14ac:dyDescent="0.35">
      <c r="B60" s="73"/>
      <c r="C60" s="73"/>
      <c r="D60" s="73"/>
      <c r="E60" s="73"/>
      <c r="F60" s="73"/>
      <c r="G60" s="73"/>
    </row>
    <row r="61" spans="2:7" ht="16.5" customHeight="1" x14ac:dyDescent="0.35">
      <c r="B61" s="73"/>
      <c r="C61" s="73"/>
      <c r="D61" s="73"/>
      <c r="E61" s="73"/>
      <c r="F61" s="73"/>
      <c r="G61" s="73"/>
    </row>
    <row r="62" spans="2:7" ht="16.5" customHeight="1" x14ac:dyDescent="0.35">
      <c r="B62" s="73"/>
      <c r="C62" s="73"/>
      <c r="D62" s="73"/>
      <c r="E62" s="73"/>
      <c r="F62" s="73"/>
      <c r="G62" s="73"/>
    </row>
    <row r="63" spans="2:7" ht="16.5" customHeight="1" x14ac:dyDescent="0.35">
      <c r="B63" s="73"/>
      <c r="C63" s="73"/>
      <c r="D63" s="73"/>
      <c r="E63" s="73"/>
      <c r="F63" s="73"/>
      <c r="G63" s="73"/>
    </row>
    <row r="64" spans="2:7" ht="16.5" customHeight="1" x14ac:dyDescent="0.35">
      <c r="B64" s="73"/>
      <c r="C64" s="73"/>
      <c r="D64" s="73"/>
      <c r="E64" s="73"/>
      <c r="F64" s="73"/>
      <c r="G64" s="73"/>
    </row>
    <row r="65" spans="2:7" ht="16.5" customHeight="1" x14ac:dyDescent="0.35">
      <c r="B65" s="73"/>
      <c r="C65" s="73"/>
      <c r="D65" s="73"/>
      <c r="E65" s="73"/>
      <c r="F65" s="73"/>
      <c r="G65" s="73"/>
    </row>
    <row r="66" spans="2:7" ht="16.5" customHeight="1" x14ac:dyDescent="0.35">
      <c r="B66" s="73"/>
      <c r="C66" s="73"/>
      <c r="D66" s="73"/>
      <c r="E66" s="73"/>
      <c r="F66" s="73"/>
      <c r="G66" s="73"/>
    </row>
    <row r="67" spans="2:7" ht="16.5" customHeight="1" x14ac:dyDescent="0.35">
      <c r="B67" s="73"/>
      <c r="C67" s="73"/>
      <c r="D67" s="73"/>
      <c r="E67" s="73"/>
      <c r="F67" s="73"/>
      <c r="G67" s="73"/>
    </row>
    <row r="68" spans="2:7" ht="16.5" customHeight="1" x14ac:dyDescent="0.35">
      <c r="B68" s="73"/>
      <c r="C68" s="73"/>
      <c r="D68" s="73"/>
      <c r="E68" s="73"/>
      <c r="F68" s="73"/>
      <c r="G68" s="73"/>
    </row>
    <row r="69" spans="2:7" ht="16.5" customHeight="1" x14ac:dyDescent="0.35">
      <c r="B69" s="73"/>
      <c r="C69" s="73"/>
      <c r="D69" s="73"/>
      <c r="E69" s="73"/>
      <c r="F69" s="73"/>
      <c r="G69" s="73"/>
    </row>
    <row r="70" spans="2:7" ht="16.5" customHeight="1" x14ac:dyDescent="0.35">
      <c r="B70" s="73"/>
      <c r="C70" s="73"/>
      <c r="D70" s="73"/>
      <c r="E70" s="73"/>
      <c r="F70" s="73"/>
      <c r="G70" s="73"/>
    </row>
    <row r="71" spans="2:7" ht="16.5" customHeight="1" x14ac:dyDescent="0.35">
      <c r="B71" s="73"/>
      <c r="C71" s="73"/>
      <c r="D71" s="73"/>
      <c r="E71" s="73"/>
      <c r="F71" s="73"/>
      <c r="G71" s="73"/>
    </row>
    <row r="72" spans="2:7" ht="16.5" customHeight="1" x14ac:dyDescent="0.35">
      <c r="B72" s="73"/>
      <c r="C72" s="73"/>
      <c r="D72" s="73"/>
      <c r="E72" s="73"/>
      <c r="F72" s="73"/>
      <c r="G72" s="73"/>
    </row>
    <row r="73" spans="2:7" ht="16.5" customHeight="1" x14ac:dyDescent="0.35">
      <c r="B73" s="73"/>
      <c r="C73" s="73"/>
      <c r="D73" s="73"/>
      <c r="E73" s="73"/>
      <c r="F73" s="73"/>
      <c r="G73" s="73"/>
    </row>
    <row r="74" spans="2:7" ht="16.5" customHeight="1" x14ac:dyDescent="0.35">
      <c r="B74" s="73"/>
      <c r="C74" s="73"/>
      <c r="D74" s="73"/>
      <c r="E74" s="73"/>
      <c r="F74" s="73"/>
      <c r="G74" s="73"/>
    </row>
    <row r="75" spans="2:7" ht="16.5" customHeight="1" x14ac:dyDescent="0.35">
      <c r="B75" s="73"/>
      <c r="C75" s="73"/>
      <c r="D75" s="73"/>
      <c r="E75" s="73"/>
      <c r="F75" s="73"/>
      <c r="G75" s="73"/>
    </row>
    <row r="76" spans="2:7" ht="16.5" customHeight="1" x14ac:dyDescent="0.35">
      <c r="B76" s="73"/>
      <c r="C76" s="73"/>
      <c r="D76" s="73"/>
      <c r="E76" s="73"/>
      <c r="F76" s="73"/>
      <c r="G76" s="73"/>
    </row>
    <row r="77" spans="2:7" ht="16.5" customHeight="1" x14ac:dyDescent="0.35">
      <c r="B77" s="73"/>
      <c r="C77" s="73"/>
      <c r="D77" s="73"/>
      <c r="E77" s="73"/>
      <c r="F77" s="73"/>
      <c r="G77" s="73"/>
    </row>
    <row r="78" spans="2:7" ht="16.5" customHeight="1" x14ac:dyDescent="0.35">
      <c r="B78" s="73"/>
      <c r="C78" s="73"/>
      <c r="D78" s="73"/>
      <c r="E78" s="73"/>
      <c r="F78" s="73"/>
      <c r="G78" s="73"/>
    </row>
    <row r="79" spans="2:7" ht="16.5" customHeight="1" x14ac:dyDescent="0.35">
      <c r="B79" s="73"/>
      <c r="C79" s="73"/>
      <c r="D79" s="73"/>
      <c r="E79" s="73"/>
      <c r="F79" s="73"/>
      <c r="G79" s="73"/>
    </row>
    <row r="80" spans="2:7" ht="16.5" customHeight="1" x14ac:dyDescent="0.35">
      <c r="B80" s="73"/>
      <c r="C80" s="73"/>
      <c r="D80" s="73"/>
      <c r="E80" s="73"/>
      <c r="F80" s="73"/>
      <c r="G80" s="73"/>
    </row>
    <row r="81" spans="2:7" ht="16.5" customHeight="1" x14ac:dyDescent="0.35">
      <c r="B81" s="73"/>
      <c r="C81" s="73"/>
      <c r="D81" s="73"/>
      <c r="E81" s="73"/>
      <c r="F81" s="73"/>
      <c r="G81" s="73"/>
    </row>
    <row r="82" spans="2:7" ht="16.5" customHeight="1" x14ac:dyDescent="0.35">
      <c r="B82" s="73"/>
      <c r="C82" s="73"/>
      <c r="D82" s="73"/>
      <c r="E82" s="73"/>
      <c r="F82" s="73"/>
      <c r="G82" s="73"/>
    </row>
    <row r="83" spans="2:7" ht="16.5" customHeight="1" x14ac:dyDescent="0.35">
      <c r="B83" s="73"/>
      <c r="C83" s="73"/>
      <c r="D83" s="73"/>
      <c r="E83" s="73"/>
      <c r="F83" s="73"/>
      <c r="G83" s="73"/>
    </row>
    <row r="84" spans="2:7" ht="16.5" customHeight="1" x14ac:dyDescent="0.35">
      <c r="B84" s="73"/>
      <c r="C84" s="73"/>
      <c r="D84" s="73"/>
      <c r="E84" s="73"/>
      <c r="F84" s="73"/>
      <c r="G84" s="73"/>
    </row>
    <row r="85" spans="2:7" ht="16.5" customHeight="1" x14ac:dyDescent="0.35">
      <c r="B85" s="73"/>
      <c r="C85" s="73"/>
      <c r="D85" s="73"/>
      <c r="E85" s="73"/>
      <c r="F85" s="73"/>
      <c r="G85" s="73"/>
    </row>
    <row r="86" spans="2:7" ht="16.5" customHeight="1" x14ac:dyDescent="0.35">
      <c r="B86" s="73"/>
      <c r="C86" s="73"/>
      <c r="D86" s="73"/>
      <c r="E86" s="73"/>
      <c r="F86" s="73"/>
      <c r="G86" s="73"/>
    </row>
    <row r="87" spans="2:7" ht="16.5" customHeight="1" x14ac:dyDescent="0.35">
      <c r="B87" s="73"/>
      <c r="C87" s="73"/>
      <c r="D87" s="73"/>
      <c r="E87" s="73"/>
      <c r="F87" s="73"/>
      <c r="G87" s="73"/>
    </row>
    <row r="88" spans="2:7" ht="16.5" customHeight="1" x14ac:dyDescent="0.35">
      <c r="B88" s="73"/>
      <c r="C88" s="73"/>
      <c r="D88" s="73"/>
      <c r="E88" s="73"/>
      <c r="F88" s="73"/>
      <c r="G88" s="73"/>
    </row>
    <row r="89" spans="2:7" ht="16.5" customHeight="1" x14ac:dyDescent="0.35">
      <c r="B89" s="73"/>
      <c r="C89" s="73"/>
      <c r="D89" s="73"/>
      <c r="E89" s="73"/>
      <c r="F89" s="73"/>
      <c r="G89" s="73"/>
    </row>
    <row r="90" spans="2:7" ht="16.5" customHeight="1" x14ac:dyDescent="0.35">
      <c r="B90" s="73"/>
      <c r="C90" s="73"/>
      <c r="D90" s="73"/>
      <c r="E90" s="73"/>
      <c r="F90" s="73"/>
      <c r="G90" s="73"/>
    </row>
    <row r="91" spans="2:7" ht="16.5" customHeight="1" x14ac:dyDescent="0.35">
      <c r="B91" s="73"/>
      <c r="C91" s="73"/>
      <c r="D91" s="73"/>
      <c r="E91" s="73"/>
      <c r="F91" s="73"/>
      <c r="G91" s="73"/>
    </row>
    <row r="92" spans="2:7" ht="16.5" customHeight="1" x14ac:dyDescent="0.35">
      <c r="B92" s="73"/>
      <c r="C92" s="73"/>
      <c r="D92" s="73"/>
      <c r="E92" s="73"/>
      <c r="F92" s="73"/>
      <c r="G92" s="73"/>
    </row>
    <row r="93" spans="2:7" ht="16.5" customHeight="1" x14ac:dyDescent="0.35">
      <c r="B93" s="73"/>
      <c r="C93" s="73"/>
      <c r="D93" s="73"/>
      <c r="E93" s="73"/>
      <c r="F93" s="73"/>
      <c r="G93" s="73"/>
    </row>
    <row r="94" spans="2:7" ht="16.5" customHeight="1" x14ac:dyDescent="0.35">
      <c r="B94" s="73"/>
      <c r="C94" s="73"/>
      <c r="D94" s="73"/>
      <c r="E94" s="73"/>
      <c r="F94" s="73"/>
      <c r="G94" s="73"/>
    </row>
    <row r="95" spans="2:7" ht="16.5" customHeight="1" x14ac:dyDescent="0.35">
      <c r="B95" s="73"/>
      <c r="C95" s="73"/>
      <c r="D95" s="73"/>
      <c r="E95" s="73"/>
      <c r="F95" s="73"/>
      <c r="G95" s="73"/>
    </row>
    <row r="96" spans="2:7" ht="16.5" customHeight="1" x14ac:dyDescent="0.35">
      <c r="B96" s="73"/>
      <c r="C96" s="73"/>
      <c r="D96" s="73"/>
      <c r="E96" s="73"/>
      <c r="F96" s="73"/>
      <c r="G96" s="73"/>
    </row>
    <row r="97" spans="2:7" ht="16.5" customHeight="1" x14ac:dyDescent="0.35">
      <c r="B97" s="73"/>
      <c r="C97" s="73"/>
      <c r="D97" s="73"/>
      <c r="E97" s="73"/>
      <c r="F97" s="73"/>
      <c r="G97" s="73"/>
    </row>
    <row r="98" spans="2:7" ht="16.5" customHeight="1" x14ac:dyDescent="0.35">
      <c r="B98" s="73"/>
      <c r="C98" s="73"/>
      <c r="D98" s="73"/>
      <c r="E98" s="73"/>
      <c r="F98" s="73"/>
      <c r="G98" s="73"/>
    </row>
    <row r="99" spans="2:7" ht="16.5" customHeight="1" x14ac:dyDescent="0.35">
      <c r="B99" s="73"/>
      <c r="C99" s="73"/>
      <c r="D99" s="73"/>
      <c r="E99" s="73"/>
      <c r="F99" s="73"/>
      <c r="G99" s="73"/>
    </row>
    <row r="100" spans="2:7" ht="16.5" customHeight="1" x14ac:dyDescent="0.35">
      <c r="B100" s="73"/>
      <c r="C100" s="73"/>
      <c r="D100" s="73"/>
      <c r="E100" s="73"/>
      <c r="F100" s="73"/>
      <c r="G100" s="73"/>
    </row>
    <row r="101" spans="2:7" ht="16.5" customHeight="1" x14ac:dyDescent="0.35">
      <c r="B101" s="73"/>
      <c r="C101" s="73"/>
      <c r="D101" s="73"/>
      <c r="E101" s="73"/>
      <c r="F101" s="73"/>
      <c r="G101" s="73"/>
    </row>
    <row r="102" spans="2:7" ht="16.5" customHeight="1" x14ac:dyDescent="0.35">
      <c r="B102" s="73"/>
      <c r="C102" s="73"/>
      <c r="D102" s="73"/>
      <c r="E102" s="73"/>
      <c r="F102" s="73"/>
      <c r="G102" s="73"/>
    </row>
    <row r="103" spans="2:7" ht="16.5" customHeight="1" x14ac:dyDescent="0.35">
      <c r="B103" s="73"/>
      <c r="C103" s="73"/>
      <c r="D103" s="73"/>
      <c r="E103" s="73"/>
      <c r="F103" s="73"/>
      <c r="G103" s="73"/>
    </row>
    <row r="104" spans="2:7" ht="16.5" customHeight="1" x14ac:dyDescent="0.35">
      <c r="B104" s="73"/>
      <c r="C104" s="73"/>
      <c r="D104" s="73"/>
      <c r="E104" s="73"/>
      <c r="F104" s="73"/>
      <c r="G104" s="73"/>
    </row>
    <row r="105" spans="2:7" ht="16.5" customHeight="1" x14ac:dyDescent="0.35">
      <c r="B105" s="73"/>
      <c r="C105" s="73"/>
      <c r="D105" s="73"/>
      <c r="E105" s="73"/>
      <c r="F105" s="73"/>
      <c r="G105" s="73"/>
    </row>
    <row r="106" spans="2:7" ht="16.5" customHeight="1" x14ac:dyDescent="0.35">
      <c r="B106" s="73"/>
      <c r="C106" s="73"/>
      <c r="D106" s="73"/>
      <c r="E106" s="73"/>
      <c r="F106" s="73"/>
      <c r="G106" s="73"/>
    </row>
    <row r="107" spans="2:7" ht="16.5" customHeight="1" x14ac:dyDescent="0.35">
      <c r="B107" s="73"/>
      <c r="C107" s="73"/>
      <c r="D107" s="73"/>
      <c r="E107" s="73"/>
      <c r="F107" s="73"/>
      <c r="G107" s="73"/>
    </row>
    <row r="108" spans="2:7" ht="16.5" customHeight="1" x14ac:dyDescent="0.35">
      <c r="B108" s="73"/>
      <c r="C108" s="73"/>
      <c r="D108" s="73"/>
      <c r="E108" s="73"/>
      <c r="F108" s="73"/>
      <c r="G108" s="73"/>
    </row>
    <row r="109" spans="2:7" ht="16.5" customHeight="1" x14ac:dyDescent="0.35">
      <c r="B109" s="73"/>
      <c r="C109" s="73"/>
      <c r="D109" s="73"/>
      <c r="E109" s="73"/>
      <c r="F109" s="73"/>
      <c r="G109" s="73"/>
    </row>
    <row r="110" spans="2:7" ht="16.5" customHeight="1" x14ac:dyDescent="0.35">
      <c r="B110" s="73"/>
      <c r="C110" s="73"/>
      <c r="D110" s="73"/>
      <c r="E110" s="73"/>
      <c r="F110" s="73"/>
      <c r="G110" s="73"/>
    </row>
    <row r="111" spans="2:7" ht="16.5" customHeight="1" x14ac:dyDescent="0.35">
      <c r="B111" s="73"/>
      <c r="C111" s="73"/>
      <c r="D111" s="73"/>
      <c r="E111" s="73"/>
      <c r="F111" s="73"/>
      <c r="G111" s="73"/>
    </row>
    <row r="112" spans="2:7" ht="16.5" customHeight="1" x14ac:dyDescent="0.35">
      <c r="B112" s="73"/>
      <c r="C112" s="73"/>
      <c r="D112" s="73"/>
      <c r="E112" s="73"/>
      <c r="F112" s="73"/>
      <c r="G112" s="73"/>
    </row>
    <row r="113" spans="2:7" ht="16.5" customHeight="1" x14ac:dyDescent="0.35">
      <c r="B113" s="73"/>
      <c r="C113" s="73"/>
      <c r="D113" s="73"/>
      <c r="E113" s="73"/>
      <c r="F113" s="73"/>
      <c r="G113" s="73"/>
    </row>
    <row r="114" spans="2:7" ht="16.5" customHeight="1" x14ac:dyDescent="0.35">
      <c r="B114" s="73"/>
      <c r="C114" s="73"/>
      <c r="D114" s="73"/>
      <c r="E114" s="73"/>
      <c r="F114" s="73"/>
      <c r="G114" s="73"/>
    </row>
    <row r="115" spans="2:7" ht="16.5" customHeight="1" x14ac:dyDescent="0.35">
      <c r="B115" s="73"/>
      <c r="C115" s="73"/>
      <c r="D115" s="73"/>
      <c r="E115" s="73"/>
      <c r="F115" s="73"/>
      <c r="G115" s="73"/>
    </row>
    <row r="116" spans="2:7" ht="16.5" customHeight="1" x14ac:dyDescent="0.35">
      <c r="B116" s="73"/>
      <c r="C116" s="73"/>
      <c r="D116" s="73"/>
      <c r="E116" s="73"/>
      <c r="F116" s="73"/>
      <c r="G116" s="73"/>
    </row>
    <row r="117" spans="2:7" ht="16.5" customHeight="1" x14ac:dyDescent="0.35">
      <c r="B117" s="73"/>
      <c r="C117" s="73"/>
      <c r="D117" s="73"/>
      <c r="E117" s="73"/>
      <c r="F117" s="73"/>
      <c r="G117" s="73"/>
    </row>
    <row r="118" spans="2:7" ht="16.5" customHeight="1" x14ac:dyDescent="0.35">
      <c r="B118" s="73"/>
      <c r="C118" s="73"/>
      <c r="D118" s="73"/>
      <c r="E118" s="73"/>
      <c r="F118" s="73"/>
      <c r="G118" s="73"/>
    </row>
    <row r="119" spans="2:7" ht="16.5" customHeight="1" x14ac:dyDescent="0.35">
      <c r="B119" s="73"/>
      <c r="C119" s="73"/>
      <c r="D119" s="73"/>
      <c r="E119" s="73"/>
      <c r="F119" s="73"/>
      <c r="G119" s="73"/>
    </row>
    <row r="120" spans="2:7" ht="16.5" customHeight="1" x14ac:dyDescent="0.35">
      <c r="B120" s="73"/>
      <c r="C120" s="73"/>
      <c r="D120" s="73"/>
      <c r="E120" s="73"/>
      <c r="F120" s="73"/>
      <c r="G120" s="73"/>
    </row>
    <row r="121" spans="2:7" ht="16.5" customHeight="1" x14ac:dyDescent="0.35">
      <c r="B121" s="73"/>
      <c r="C121" s="73"/>
      <c r="D121" s="73"/>
      <c r="E121" s="73"/>
      <c r="F121" s="73"/>
      <c r="G121" s="73"/>
    </row>
    <row r="122" spans="2:7" ht="16.5" customHeight="1" x14ac:dyDescent="0.35">
      <c r="B122" s="73"/>
      <c r="C122" s="73"/>
      <c r="D122" s="73"/>
      <c r="E122" s="73"/>
      <c r="F122" s="73"/>
      <c r="G122" s="73"/>
    </row>
    <row r="123" spans="2:7" ht="16.5" customHeight="1" x14ac:dyDescent="0.35">
      <c r="B123" s="73"/>
      <c r="C123" s="73"/>
      <c r="D123" s="73"/>
      <c r="E123" s="73"/>
      <c r="F123" s="73"/>
      <c r="G123" s="73"/>
    </row>
    <row r="124" spans="2:7" ht="16.5" customHeight="1" x14ac:dyDescent="0.35">
      <c r="B124" s="73"/>
      <c r="C124" s="73"/>
      <c r="D124" s="73"/>
      <c r="E124" s="73"/>
      <c r="F124" s="73"/>
      <c r="G124" s="73"/>
    </row>
    <row r="125" spans="2:7" ht="16.5" customHeight="1" x14ac:dyDescent="0.35">
      <c r="B125" s="73"/>
      <c r="C125" s="73"/>
      <c r="D125" s="73"/>
      <c r="E125" s="73"/>
      <c r="F125" s="73"/>
      <c r="G125" s="73"/>
    </row>
    <row r="126" spans="2:7" ht="16.5" customHeight="1" x14ac:dyDescent="0.35">
      <c r="B126" s="73"/>
      <c r="C126" s="73"/>
      <c r="D126" s="73"/>
      <c r="E126" s="73"/>
      <c r="F126" s="73"/>
      <c r="G126" s="73"/>
    </row>
    <row r="127" spans="2:7" ht="16.5" customHeight="1" x14ac:dyDescent="0.35">
      <c r="B127" s="73"/>
      <c r="C127" s="73"/>
      <c r="D127" s="73"/>
      <c r="E127" s="73"/>
      <c r="F127" s="73"/>
      <c r="G127" s="73"/>
    </row>
    <row r="128" spans="2:7" ht="16.5" customHeight="1" x14ac:dyDescent="0.35">
      <c r="B128" s="73"/>
      <c r="C128" s="73"/>
      <c r="D128" s="73"/>
      <c r="E128" s="73"/>
      <c r="F128" s="73"/>
      <c r="G128" s="73"/>
    </row>
    <row r="129" spans="2:7" ht="16.5" customHeight="1" x14ac:dyDescent="0.35">
      <c r="B129" s="73"/>
      <c r="C129" s="73"/>
      <c r="D129" s="73"/>
      <c r="E129" s="73"/>
      <c r="F129" s="73"/>
      <c r="G129" s="73"/>
    </row>
    <row r="130" spans="2:7" ht="16.5" customHeight="1" x14ac:dyDescent="0.35">
      <c r="B130" s="73"/>
      <c r="C130" s="73"/>
      <c r="D130" s="73"/>
      <c r="E130" s="73"/>
      <c r="F130" s="73"/>
      <c r="G130" s="73"/>
    </row>
    <row r="131" spans="2:7" ht="16.5" customHeight="1" x14ac:dyDescent="0.35">
      <c r="B131" s="73"/>
      <c r="C131" s="73"/>
      <c r="D131" s="73"/>
      <c r="E131" s="73"/>
      <c r="F131" s="73"/>
      <c r="G131" s="73"/>
    </row>
    <row r="132" spans="2:7" ht="16.5" customHeight="1" x14ac:dyDescent="0.35">
      <c r="B132" s="73"/>
      <c r="C132" s="73"/>
      <c r="D132" s="73"/>
      <c r="E132" s="73"/>
      <c r="F132" s="73"/>
      <c r="G132" s="73"/>
    </row>
    <row r="133" spans="2:7" ht="16.5" customHeight="1" x14ac:dyDescent="0.35">
      <c r="B133" s="73"/>
      <c r="C133" s="73"/>
      <c r="D133" s="73"/>
      <c r="E133" s="73"/>
      <c r="F133" s="73"/>
      <c r="G133" s="73"/>
    </row>
    <row r="134" spans="2:7" ht="16.5" customHeight="1" x14ac:dyDescent="0.35">
      <c r="B134" s="73"/>
      <c r="C134" s="73"/>
      <c r="D134" s="73"/>
      <c r="E134" s="73"/>
      <c r="F134" s="73"/>
      <c r="G134" s="73"/>
    </row>
    <row r="135" spans="2:7" ht="16.5" customHeight="1" x14ac:dyDescent="0.35">
      <c r="B135" s="73"/>
      <c r="C135" s="73"/>
      <c r="D135" s="73"/>
      <c r="E135" s="73"/>
      <c r="F135" s="73"/>
      <c r="G135" s="73"/>
    </row>
    <row r="136" spans="2:7" ht="16.5" customHeight="1" x14ac:dyDescent="0.35">
      <c r="B136" s="73"/>
      <c r="C136" s="73"/>
      <c r="D136" s="73"/>
      <c r="E136" s="73"/>
      <c r="F136" s="73"/>
      <c r="G136" s="73"/>
    </row>
    <row r="137" spans="2:7" ht="16.5" customHeight="1" x14ac:dyDescent="0.35">
      <c r="B137" s="73"/>
      <c r="C137" s="73"/>
      <c r="D137" s="73"/>
      <c r="E137" s="73"/>
      <c r="F137" s="73"/>
      <c r="G137" s="73"/>
    </row>
    <row r="138" spans="2:7" ht="16.5" customHeight="1" x14ac:dyDescent="0.35">
      <c r="B138" s="73"/>
      <c r="C138" s="73"/>
      <c r="D138" s="73"/>
      <c r="E138" s="73"/>
      <c r="F138" s="73"/>
      <c r="G138" s="73"/>
    </row>
    <row r="139" spans="2:7" ht="16.5" customHeight="1" x14ac:dyDescent="0.35">
      <c r="B139" s="73"/>
      <c r="C139" s="73"/>
      <c r="D139" s="73"/>
      <c r="E139" s="73"/>
      <c r="F139" s="73"/>
      <c r="G139" s="73"/>
    </row>
    <row r="140" spans="2:7" ht="16.5" customHeight="1" x14ac:dyDescent="0.35">
      <c r="B140" s="73"/>
      <c r="C140" s="73"/>
      <c r="D140" s="73"/>
      <c r="E140" s="73"/>
      <c r="F140" s="73"/>
      <c r="G140" s="73"/>
    </row>
    <row r="141" spans="2:7" ht="16.5" customHeight="1" x14ac:dyDescent="0.35">
      <c r="B141" s="73"/>
      <c r="C141" s="73"/>
      <c r="D141" s="73"/>
      <c r="E141" s="73"/>
      <c r="F141" s="73"/>
      <c r="G141" s="73"/>
    </row>
    <row r="142" spans="2:7" ht="16.5" customHeight="1" x14ac:dyDescent="0.35">
      <c r="B142" s="73"/>
      <c r="C142" s="73"/>
      <c r="D142" s="73"/>
      <c r="E142" s="73"/>
      <c r="F142" s="73"/>
      <c r="G142" s="73"/>
    </row>
    <row r="143" spans="2:7" ht="16.5" customHeight="1" x14ac:dyDescent="0.35">
      <c r="B143" s="73"/>
      <c r="C143" s="73"/>
      <c r="D143" s="73"/>
      <c r="E143" s="73"/>
      <c r="F143" s="73"/>
      <c r="G143" s="73"/>
    </row>
    <row r="144" spans="2:7" ht="16.5" customHeight="1" x14ac:dyDescent="0.35">
      <c r="B144" s="73"/>
      <c r="C144" s="73"/>
      <c r="D144" s="73"/>
      <c r="E144" s="73"/>
      <c r="F144" s="73"/>
      <c r="G144" s="73"/>
    </row>
    <row r="145" spans="2:7" ht="16.5" customHeight="1" x14ac:dyDescent="0.35">
      <c r="B145" s="73"/>
      <c r="C145" s="73"/>
      <c r="D145" s="73"/>
      <c r="E145" s="73"/>
      <c r="F145" s="73"/>
      <c r="G145" s="73"/>
    </row>
    <row r="146" spans="2:7" ht="16.5" customHeight="1" x14ac:dyDescent="0.35">
      <c r="B146" s="73"/>
      <c r="C146" s="73"/>
      <c r="D146" s="73"/>
      <c r="E146" s="73"/>
      <c r="F146" s="73"/>
      <c r="G146" s="73"/>
    </row>
    <row r="147" spans="2:7" ht="16.5" customHeight="1" x14ac:dyDescent="0.35">
      <c r="B147" s="73"/>
      <c r="C147" s="73"/>
      <c r="D147" s="73"/>
      <c r="E147" s="73"/>
      <c r="F147" s="73"/>
      <c r="G147" s="73"/>
    </row>
    <row r="148" spans="2:7" ht="16.5" customHeight="1" x14ac:dyDescent="0.35">
      <c r="B148" s="73"/>
      <c r="C148" s="73"/>
      <c r="D148" s="73"/>
      <c r="E148" s="73"/>
      <c r="F148" s="73"/>
      <c r="G148" s="73"/>
    </row>
    <row r="149" spans="2:7" ht="16.5" customHeight="1" x14ac:dyDescent="0.35">
      <c r="B149" s="73"/>
      <c r="C149" s="73"/>
      <c r="D149" s="73"/>
      <c r="E149" s="73"/>
      <c r="F149" s="73"/>
      <c r="G149" s="73"/>
    </row>
    <row r="150" spans="2:7" ht="16.5" customHeight="1" x14ac:dyDescent="0.35">
      <c r="B150" s="73"/>
      <c r="C150" s="73"/>
      <c r="D150" s="73"/>
      <c r="E150" s="73"/>
      <c r="F150" s="73"/>
      <c r="G150" s="73"/>
    </row>
    <row r="151" spans="2:7" ht="16.5" customHeight="1" x14ac:dyDescent="0.35">
      <c r="B151" s="73"/>
      <c r="C151" s="73"/>
      <c r="D151" s="73"/>
      <c r="E151" s="73"/>
      <c r="F151" s="73"/>
      <c r="G151" s="73"/>
    </row>
    <row r="152" spans="2:7" ht="16.5" customHeight="1" x14ac:dyDescent="0.35">
      <c r="B152" s="73"/>
      <c r="C152" s="73"/>
      <c r="D152" s="73"/>
      <c r="E152" s="73"/>
      <c r="F152" s="73"/>
      <c r="G152" s="73"/>
    </row>
    <row r="153" spans="2:7" ht="16.5" customHeight="1" x14ac:dyDescent="0.35">
      <c r="B153" s="73"/>
      <c r="C153" s="73"/>
      <c r="D153" s="73"/>
      <c r="E153" s="73"/>
      <c r="F153" s="73"/>
      <c r="G153" s="73"/>
    </row>
    <row r="154" spans="2:7" ht="16.5" customHeight="1" x14ac:dyDescent="0.35">
      <c r="B154" s="73"/>
      <c r="C154" s="73"/>
      <c r="D154" s="73"/>
      <c r="E154" s="73"/>
      <c r="F154" s="73"/>
      <c r="G154" s="73"/>
    </row>
    <row r="155" spans="2:7" ht="16.5" customHeight="1" x14ac:dyDescent="0.35">
      <c r="B155" s="73"/>
      <c r="C155" s="73"/>
      <c r="D155" s="73"/>
      <c r="E155" s="73"/>
      <c r="F155" s="73"/>
      <c r="G155" s="73"/>
    </row>
    <row r="156" spans="2:7" ht="16.5" customHeight="1" x14ac:dyDescent="0.35">
      <c r="B156" s="73"/>
      <c r="C156" s="73"/>
      <c r="D156" s="73"/>
      <c r="E156" s="73"/>
      <c r="F156" s="73"/>
      <c r="G156" s="73"/>
    </row>
    <row r="157" spans="2:7" ht="16.5" customHeight="1" x14ac:dyDescent="0.35">
      <c r="B157" s="73"/>
      <c r="C157" s="73"/>
      <c r="D157" s="73"/>
      <c r="E157" s="73"/>
      <c r="F157" s="73"/>
      <c r="G157" s="73"/>
    </row>
    <row r="158" spans="2:7" ht="16.5" customHeight="1" x14ac:dyDescent="0.35">
      <c r="B158" s="73"/>
      <c r="C158" s="73"/>
      <c r="D158" s="73"/>
      <c r="E158" s="73"/>
      <c r="F158" s="73"/>
      <c r="G158" s="73"/>
    </row>
    <row r="159" spans="2:7" ht="16.5" customHeight="1" x14ac:dyDescent="0.35">
      <c r="B159" s="73"/>
      <c r="C159" s="73"/>
      <c r="D159" s="73"/>
      <c r="E159" s="73"/>
      <c r="F159" s="73"/>
      <c r="G159" s="73"/>
    </row>
    <row r="160" spans="2:7" ht="16.5" customHeight="1" x14ac:dyDescent="0.35">
      <c r="B160" s="73"/>
      <c r="C160" s="73"/>
      <c r="D160" s="73"/>
      <c r="E160" s="73"/>
      <c r="F160" s="73"/>
      <c r="G160" s="73"/>
    </row>
    <row r="161" spans="2:7" ht="16.5" customHeight="1" x14ac:dyDescent="0.35">
      <c r="B161" s="73"/>
      <c r="C161" s="73"/>
      <c r="D161" s="73"/>
      <c r="E161" s="73"/>
      <c r="F161" s="73"/>
      <c r="G161" s="73"/>
    </row>
    <row r="162" spans="2:7" ht="16.5" customHeight="1" x14ac:dyDescent="0.35">
      <c r="B162" s="73"/>
      <c r="C162" s="73"/>
      <c r="D162" s="73"/>
      <c r="E162" s="73"/>
      <c r="F162" s="73"/>
      <c r="G162" s="73"/>
    </row>
    <row r="163" spans="2:7" ht="16.5" customHeight="1" x14ac:dyDescent="0.35">
      <c r="B163" s="73"/>
      <c r="C163" s="73"/>
      <c r="D163" s="73"/>
      <c r="E163" s="73"/>
      <c r="F163" s="73"/>
      <c r="G163" s="73"/>
    </row>
    <row r="164" spans="2:7" ht="16.5" customHeight="1" x14ac:dyDescent="0.35">
      <c r="B164" s="73"/>
      <c r="C164" s="73"/>
      <c r="D164" s="73"/>
      <c r="E164" s="73"/>
      <c r="F164" s="73"/>
      <c r="G164" s="73"/>
    </row>
    <row r="165" spans="2:7" ht="16.5" customHeight="1" x14ac:dyDescent="0.35">
      <c r="B165" s="73"/>
      <c r="C165" s="73"/>
      <c r="D165" s="73"/>
      <c r="E165" s="73"/>
      <c r="F165" s="73"/>
      <c r="G165" s="73"/>
    </row>
    <row r="166" spans="2:7" ht="16.5" customHeight="1" x14ac:dyDescent="0.35">
      <c r="B166" s="73"/>
      <c r="C166" s="73"/>
      <c r="D166" s="73"/>
      <c r="E166" s="73"/>
      <c r="F166" s="73"/>
      <c r="G166" s="73"/>
    </row>
    <row r="167" spans="2:7" ht="16.5" customHeight="1" x14ac:dyDescent="0.35">
      <c r="B167" s="73"/>
      <c r="C167" s="73"/>
      <c r="D167" s="73"/>
      <c r="E167" s="73"/>
      <c r="F167" s="73"/>
      <c r="G167" s="73"/>
    </row>
    <row r="168" spans="2:7" ht="16.5" customHeight="1" x14ac:dyDescent="0.35">
      <c r="B168" s="73"/>
      <c r="C168" s="73"/>
      <c r="D168" s="73"/>
      <c r="E168" s="73"/>
      <c r="F168" s="73"/>
      <c r="G168" s="73"/>
    </row>
    <row r="169" spans="2:7" ht="16.5" customHeight="1" x14ac:dyDescent="0.35">
      <c r="B169" s="73"/>
      <c r="C169" s="73"/>
      <c r="D169" s="73"/>
      <c r="E169" s="73"/>
      <c r="F169" s="73"/>
      <c r="G169" s="73"/>
    </row>
    <row r="170" spans="2:7" ht="16.5" customHeight="1" x14ac:dyDescent="0.35">
      <c r="B170" s="73"/>
      <c r="C170" s="73"/>
      <c r="D170" s="73"/>
      <c r="E170" s="73"/>
      <c r="F170" s="73"/>
      <c r="G170" s="73"/>
    </row>
    <row r="171" spans="2:7" ht="16.5" customHeight="1" x14ac:dyDescent="0.35">
      <c r="B171" s="73"/>
      <c r="C171" s="73"/>
      <c r="D171" s="73"/>
      <c r="E171" s="73"/>
      <c r="F171" s="73"/>
      <c r="G171" s="73"/>
    </row>
    <row r="172" spans="2:7" ht="16.5" customHeight="1" x14ac:dyDescent="0.35">
      <c r="B172" s="73"/>
      <c r="C172" s="73"/>
      <c r="D172" s="73"/>
      <c r="E172" s="73"/>
      <c r="F172" s="73"/>
      <c r="G172" s="73"/>
    </row>
    <row r="173" spans="2:7" ht="16.5" customHeight="1" x14ac:dyDescent="0.35">
      <c r="B173" s="73"/>
      <c r="C173" s="73"/>
      <c r="D173" s="73"/>
      <c r="E173" s="73"/>
      <c r="F173" s="73"/>
      <c r="G173" s="73"/>
    </row>
    <row r="174" spans="2:7" ht="16.5" customHeight="1" x14ac:dyDescent="0.35">
      <c r="B174" s="73"/>
      <c r="C174" s="73"/>
      <c r="D174" s="73"/>
      <c r="E174" s="73"/>
      <c r="F174" s="73"/>
      <c r="G174" s="73"/>
    </row>
    <row r="175" spans="2:7" ht="16.5" customHeight="1" x14ac:dyDescent="0.35">
      <c r="B175" s="73"/>
      <c r="C175" s="73"/>
      <c r="D175" s="73"/>
      <c r="E175" s="73"/>
      <c r="F175" s="73"/>
      <c r="G175" s="73"/>
    </row>
    <row r="176" spans="2:7" ht="16.5" customHeight="1" x14ac:dyDescent="0.35">
      <c r="B176" s="73"/>
      <c r="C176" s="73"/>
      <c r="D176" s="73"/>
      <c r="E176" s="73"/>
      <c r="F176" s="73"/>
      <c r="G176" s="73"/>
    </row>
    <row r="177" spans="2:7" ht="16.5" customHeight="1" x14ac:dyDescent="0.35">
      <c r="B177" s="73"/>
      <c r="C177" s="73"/>
      <c r="D177" s="73"/>
      <c r="E177" s="73"/>
      <c r="F177" s="73"/>
      <c r="G177" s="73"/>
    </row>
    <row r="178" spans="2:7" ht="16.5" customHeight="1" x14ac:dyDescent="0.35">
      <c r="B178" s="73"/>
      <c r="C178" s="73"/>
      <c r="D178" s="73"/>
      <c r="E178" s="73"/>
      <c r="F178" s="73"/>
      <c r="G178" s="73"/>
    </row>
    <row r="179" spans="2:7" ht="16.5" customHeight="1" x14ac:dyDescent="0.35">
      <c r="B179" s="73"/>
      <c r="C179" s="73"/>
      <c r="D179" s="73"/>
      <c r="E179" s="73"/>
      <c r="F179" s="73"/>
      <c r="G179" s="73"/>
    </row>
    <row r="180" spans="2:7" ht="16.5" customHeight="1" x14ac:dyDescent="0.35">
      <c r="B180" s="73"/>
      <c r="C180" s="73"/>
      <c r="D180" s="73"/>
      <c r="E180" s="73"/>
      <c r="F180" s="73"/>
      <c r="G180" s="73"/>
    </row>
    <row r="181" spans="2:7" ht="16.5" customHeight="1" x14ac:dyDescent="0.35">
      <c r="B181" s="73"/>
      <c r="C181" s="73"/>
      <c r="D181" s="73"/>
      <c r="E181" s="73"/>
      <c r="F181" s="73"/>
      <c r="G181" s="73"/>
    </row>
    <row r="182" spans="2:7" ht="16.5" customHeight="1" x14ac:dyDescent="0.35">
      <c r="B182" s="73"/>
      <c r="C182" s="73"/>
      <c r="D182" s="73"/>
      <c r="E182" s="73"/>
      <c r="F182" s="73"/>
      <c r="G182" s="73"/>
    </row>
    <row r="183" spans="2:7" ht="16.5" customHeight="1" x14ac:dyDescent="0.35">
      <c r="B183" s="73"/>
      <c r="C183" s="73"/>
      <c r="D183" s="73"/>
      <c r="E183" s="73"/>
      <c r="F183" s="73"/>
      <c r="G183" s="73"/>
    </row>
    <row r="184" spans="2:7" ht="16.5" customHeight="1" x14ac:dyDescent="0.35">
      <c r="B184" s="73"/>
      <c r="C184" s="73"/>
      <c r="D184" s="73"/>
      <c r="E184" s="73"/>
      <c r="F184" s="73"/>
      <c r="G184" s="73"/>
    </row>
    <row r="185" spans="2:7" ht="16.5" customHeight="1" x14ac:dyDescent="0.35">
      <c r="B185" s="73"/>
      <c r="C185" s="73"/>
      <c r="D185" s="73"/>
      <c r="E185" s="73"/>
      <c r="F185" s="73"/>
      <c r="G185" s="73"/>
    </row>
    <row r="186" spans="2:7" ht="16.5" customHeight="1" x14ac:dyDescent="0.35">
      <c r="B186" s="73"/>
      <c r="C186" s="73"/>
      <c r="D186" s="73"/>
      <c r="E186" s="73"/>
      <c r="F186" s="73"/>
      <c r="G186" s="73"/>
    </row>
    <row r="187" spans="2:7" ht="16.5" customHeight="1" x14ac:dyDescent="0.35">
      <c r="B187" s="73"/>
      <c r="C187" s="73"/>
      <c r="D187" s="73"/>
      <c r="E187" s="73"/>
      <c r="F187" s="73"/>
      <c r="G187" s="73"/>
    </row>
    <row r="188" spans="2:7" ht="16.5" customHeight="1" x14ac:dyDescent="0.35">
      <c r="B188" s="73"/>
      <c r="C188" s="73"/>
      <c r="D188" s="73"/>
      <c r="E188" s="73"/>
      <c r="F188" s="73"/>
      <c r="G188" s="73"/>
    </row>
    <row r="189" spans="2:7" ht="16.5" customHeight="1" x14ac:dyDescent="0.35">
      <c r="B189" s="73"/>
      <c r="C189" s="73"/>
      <c r="D189" s="73"/>
      <c r="E189" s="73"/>
      <c r="F189" s="73"/>
      <c r="G189" s="73"/>
    </row>
    <row r="190" spans="2:7" ht="16.5" customHeight="1" x14ac:dyDescent="0.35">
      <c r="B190" s="73"/>
      <c r="C190" s="73"/>
      <c r="D190" s="73"/>
      <c r="E190" s="73"/>
      <c r="F190" s="73"/>
      <c r="G190" s="73"/>
    </row>
    <row r="191" spans="2:7" ht="16.5" customHeight="1" x14ac:dyDescent="0.35">
      <c r="B191" s="73"/>
      <c r="C191" s="73"/>
      <c r="D191" s="73"/>
      <c r="E191" s="73"/>
      <c r="F191" s="73"/>
      <c r="G191" s="73"/>
    </row>
    <row r="192" spans="2:7" ht="16.5" customHeight="1" x14ac:dyDescent="0.35">
      <c r="B192" s="73"/>
      <c r="C192" s="73"/>
      <c r="D192" s="73"/>
      <c r="E192" s="73"/>
      <c r="F192" s="73"/>
      <c r="G192" s="73"/>
    </row>
    <row r="193" spans="2:7" ht="16.5" customHeight="1" x14ac:dyDescent="0.35">
      <c r="B193" s="73"/>
      <c r="C193" s="73"/>
      <c r="D193" s="73"/>
      <c r="E193" s="73"/>
      <c r="F193" s="73"/>
      <c r="G193" s="73"/>
    </row>
    <row r="194" spans="2:7" ht="16.5" customHeight="1" x14ac:dyDescent="0.35">
      <c r="B194" s="73"/>
      <c r="C194" s="73"/>
      <c r="D194" s="73"/>
      <c r="E194" s="73"/>
      <c r="F194" s="73"/>
      <c r="G194" s="73"/>
    </row>
    <row r="195" spans="2:7" ht="16.5" customHeight="1" x14ac:dyDescent="0.35">
      <c r="B195" s="73"/>
      <c r="C195" s="73"/>
      <c r="D195" s="73"/>
      <c r="E195" s="73"/>
      <c r="F195" s="73"/>
      <c r="G195" s="73"/>
    </row>
    <row r="196" spans="2:7" ht="16.5" customHeight="1" x14ac:dyDescent="0.35">
      <c r="B196" s="73"/>
      <c r="C196" s="73"/>
      <c r="D196" s="73"/>
      <c r="E196" s="73"/>
      <c r="F196" s="73"/>
      <c r="G196" s="73"/>
    </row>
    <row r="197" spans="2:7" ht="16.5" customHeight="1" x14ac:dyDescent="0.35">
      <c r="B197" s="73"/>
      <c r="C197" s="73"/>
      <c r="D197" s="73"/>
      <c r="E197" s="73"/>
      <c r="F197" s="73"/>
      <c r="G197" s="73"/>
    </row>
    <row r="198" spans="2:7" ht="16.5" customHeight="1" x14ac:dyDescent="0.35">
      <c r="B198" s="73"/>
      <c r="C198" s="73"/>
      <c r="D198" s="73"/>
      <c r="E198" s="73"/>
      <c r="F198" s="73"/>
      <c r="G198" s="73"/>
    </row>
    <row r="199" spans="2:7" ht="16.5" customHeight="1" x14ac:dyDescent="0.35">
      <c r="B199" s="73"/>
      <c r="C199" s="73"/>
      <c r="D199" s="73"/>
      <c r="E199" s="73"/>
      <c r="F199" s="73"/>
      <c r="G199" s="73"/>
    </row>
    <row r="200" spans="2:7" ht="16.5" customHeight="1" x14ac:dyDescent="0.35">
      <c r="B200" s="73"/>
      <c r="C200" s="73"/>
      <c r="D200" s="73"/>
      <c r="E200" s="73"/>
      <c r="F200" s="73"/>
      <c r="G200" s="73"/>
    </row>
    <row r="201" spans="2:7" ht="16.5" customHeight="1" x14ac:dyDescent="0.35">
      <c r="B201" s="73"/>
      <c r="C201" s="73"/>
      <c r="D201" s="73"/>
      <c r="E201" s="73"/>
      <c r="F201" s="73"/>
      <c r="G201" s="73"/>
    </row>
    <row r="202" spans="2:7" ht="16.5" customHeight="1" x14ac:dyDescent="0.35">
      <c r="B202" s="73"/>
      <c r="C202" s="73"/>
      <c r="D202" s="73"/>
      <c r="E202" s="73"/>
      <c r="F202" s="73"/>
      <c r="G202" s="73"/>
    </row>
    <row r="203" spans="2:7" ht="16.5" customHeight="1" x14ac:dyDescent="0.35">
      <c r="B203" s="73"/>
      <c r="C203" s="73"/>
      <c r="D203" s="73"/>
      <c r="E203" s="73"/>
      <c r="F203" s="73"/>
      <c r="G203" s="73"/>
    </row>
    <row r="204" spans="2:7" ht="16.5" customHeight="1" x14ac:dyDescent="0.35">
      <c r="B204" s="73"/>
      <c r="C204" s="73"/>
      <c r="D204" s="73"/>
      <c r="E204" s="73"/>
      <c r="F204" s="73"/>
      <c r="G204" s="73"/>
    </row>
    <row r="205" spans="2:7" ht="16.5" customHeight="1" x14ac:dyDescent="0.35">
      <c r="B205" s="73"/>
      <c r="C205" s="73"/>
      <c r="D205" s="73"/>
      <c r="E205" s="73"/>
      <c r="F205" s="73"/>
      <c r="G205" s="73"/>
    </row>
    <row r="206" spans="2:7" ht="16.5" customHeight="1" x14ac:dyDescent="0.35">
      <c r="B206" s="73"/>
      <c r="C206" s="73"/>
      <c r="D206" s="73"/>
      <c r="E206" s="73"/>
      <c r="F206" s="73"/>
      <c r="G206" s="73"/>
    </row>
    <row r="207" spans="2:7" ht="16.5" customHeight="1" x14ac:dyDescent="0.35">
      <c r="B207" s="73"/>
      <c r="C207" s="73"/>
      <c r="D207" s="73"/>
      <c r="E207" s="73"/>
      <c r="F207" s="73"/>
      <c r="G207" s="73"/>
    </row>
    <row r="208" spans="2:7" ht="16.5" customHeight="1" x14ac:dyDescent="0.35">
      <c r="B208" s="73"/>
      <c r="C208" s="73"/>
      <c r="D208" s="73"/>
      <c r="E208" s="73"/>
      <c r="F208" s="73"/>
      <c r="G208" s="73"/>
    </row>
    <row r="209" spans="2:7" ht="16.5" customHeight="1" x14ac:dyDescent="0.35">
      <c r="B209" s="73"/>
      <c r="C209" s="73"/>
      <c r="D209" s="73"/>
      <c r="E209" s="73"/>
      <c r="F209" s="73"/>
      <c r="G209" s="73"/>
    </row>
    <row r="210" spans="2:7" ht="16.5" customHeight="1" x14ac:dyDescent="0.35">
      <c r="B210" s="73"/>
      <c r="C210" s="73"/>
      <c r="D210" s="73"/>
      <c r="E210" s="73"/>
      <c r="F210" s="73"/>
      <c r="G210" s="73"/>
    </row>
    <row r="211" spans="2:7" ht="16.5" customHeight="1" x14ac:dyDescent="0.35">
      <c r="B211" s="73"/>
      <c r="C211" s="73"/>
      <c r="D211" s="73"/>
      <c r="E211" s="73"/>
      <c r="F211" s="73"/>
      <c r="G211" s="73"/>
    </row>
    <row r="212" spans="2:7" ht="16.5" customHeight="1" x14ac:dyDescent="0.35">
      <c r="B212" s="73"/>
      <c r="C212" s="73"/>
      <c r="D212" s="73"/>
      <c r="E212" s="73"/>
      <c r="F212" s="73"/>
      <c r="G212" s="73"/>
    </row>
    <row r="213" spans="2:7" ht="16.5" customHeight="1" x14ac:dyDescent="0.35">
      <c r="B213" s="73"/>
      <c r="C213" s="73"/>
      <c r="D213" s="73"/>
      <c r="E213" s="73"/>
      <c r="F213" s="73"/>
      <c r="G213" s="73"/>
    </row>
    <row r="214" spans="2:7" ht="16.5" customHeight="1" x14ac:dyDescent="0.35">
      <c r="B214" s="73"/>
      <c r="C214" s="73"/>
      <c r="D214" s="73"/>
      <c r="E214" s="73"/>
      <c r="F214" s="73"/>
      <c r="G214" s="73"/>
    </row>
    <row r="215" spans="2:7" ht="16.5" customHeight="1" x14ac:dyDescent="0.35">
      <c r="B215" s="73"/>
      <c r="C215" s="73"/>
      <c r="D215" s="73"/>
      <c r="E215" s="73"/>
      <c r="F215" s="73"/>
      <c r="G215" s="73"/>
    </row>
    <row r="216" spans="2:7" ht="16.5" customHeight="1" x14ac:dyDescent="0.35">
      <c r="B216" s="73"/>
      <c r="C216" s="73"/>
      <c r="D216" s="73"/>
      <c r="E216" s="73"/>
      <c r="F216" s="73"/>
      <c r="G216" s="73"/>
    </row>
    <row r="217" spans="2:7" ht="16.5" customHeight="1" x14ac:dyDescent="0.35">
      <c r="B217" s="73"/>
      <c r="C217" s="73"/>
      <c r="D217" s="73"/>
      <c r="E217" s="73"/>
      <c r="F217" s="73"/>
      <c r="G217" s="73"/>
    </row>
    <row r="218" spans="2:7" ht="16.5" customHeight="1" x14ac:dyDescent="0.35">
      <c r="B218" s="73"/>
      <c r="C218" s="73"/>
      <c r="D218" s="73"/>
      <c r="E218" s="73"/>
      <c r="F218" s="73"/>
      <c r="G218" s="73"/>
    </row>
    <row r="219" spans="2:7" ht="16.5" customHeight="1" x14ac:dyDescent="0.35">
      <c r="B219" s="73"/>
      <c r="C219" s="73"/>
      <c r="D219" s="73"/>
      <c r="E219" s="73"/>
      <c r="F219" s="73"/>
      <c r="G219" s="73"/>
    </row>
    <row r="220" spans="2:7" ht="16.5" customHeight="1" x14ac:dyDescent="0.35">
      <c r="B220" s="73"/>
      <c r="C220" s="73"/>
      <c r="D220" s="73"/>
      <c r="E220" s="73"/>
      <c r="F220" s="73"/>
      <c r="G220" s="73"/>
    </row>
    <row r="221" spans="2:7" ht="15.75" customHeight="1" x14ac:dyDescent="0.35"/>
    <row r="222" spans="2:7" ht="15.75" customHeight="1" x14ac:dyDescent="0.35"/>
    <row r="223" spans="2:7" ht="15.75" customHeight="1" x14ac:dyDescent="0.35"/>
    <row r="224" spans="2:7"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4">
    <mergeCell ref="A2:A6"/>
    <mergeCell ref="C8:G8"/>
    <mergeCell ref="A10:A14"/>
    <mergeCell ref="C16:G16"/>
  </mergeCells>
  <conditionalFormatting sqref="C2:G6">
    <cfRule type="cellIs" dxfId="4" priority="1" operator="greaterThan">
      <formula>17</formula>
    </cfRule>
    <cfRule type="cellIs" dxfId="3" priority="2" operator="between">
      <formula>11</formula>
      <formula>16</formula>
    </cfRule>
    <cfRule type="cellIs" dxfId="2" priority="3" operator="between">
      <formula>6</formula>
      <formula>10</formula>
    </cfRule>
    <cfRule type="cellIs" dxfId="1" priority="4" operator="between">
      <formula>3</formula>
      <formula>5</formula>
    </cfRule>
    <cfRule type="cellIs" dxfId="0" priority="5" operator="between">
      <formula>0</formula>
      <formula>2</formula>
    </cfRule>
  </conditionalFormatting>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B1000"/>
  <sheetViews>
    <sheetView workbookViewId="0">
      <pane ySplit="1" topLeftCell="A2" activePane="bottomLeft" state="frozen"/>
      <selection pane="bottomLeft" activeCell="B3" sqref="B3"/>
    </sheetView>
  </sheetViews>
  <sheetFormatPr defaultColWidth="14.453125" defaultRowHeight="15" customHeight="1" x14ac:dyDescent="0.35"/>
  <cols>
    <col min="1" max="1" width="20.08984375" customWidth="1"/>
    <col min="2" max="2" width="70.81640625" customWidth="1"/>
    <col min="3" max="3" width="39.81640625" customWidth="1"/>
    <col min="4" max="4" width="19.7265625" customWidth="1"/>
    <col min="5" max="6" width="39.81640625" customWidth="1"/>
  </cols>
  <sheetData>
    <row r="1" spans="1:2" ht="16.5" customHeight="1" x14ac:dyDescent="0.35">
      <c r="A1" s="173" t="s">
        <v>298</v>
      </c>
      <c r="B1" s="173" t="s">
        <v>394</v>
      </c>
    </row>
    <row r="2" spans="1:2" ht="16.5" customHeight="1" x14ac:dyDescent="0.35">
      <c r="A2" s="174" t="s">
        <v>395</v>
      </c>
      <c r="B2" s="175" t="s">
        <v>396</v>
      </c>
    </row>
    <row r="3" spans="1:2" ht="16.5" customHeight="1" x14ac:dyDescent="0.35">
      <c r="A3" s="174" t="s">
        <v>395</v>
      </c>
      <c r="B3" s="175" t="s">
        <v>397</v>
      </c>
    </row>
    <row r="4" spans="1:2" ht="16.5" customHeight="1" x14ac:dyDescent="0.35">
      <c r="A4" s="174" t="s">
        <v>395</v>
      </c>
      <c r="B4" s="175" t="s">
        <v>398</v>
      </c>
    </row>
    <row r="5" spans="1:2" ht="16.5" customHeight="1" x14ac:dyDescent="0.35">
      <c r="A5" s="174" t="s">
        <v>395</v>
      </c>
      <c r="B5" s="175" t="s">
        <v>399</v>
      </c>
    </row>
    <row r="6" spans="1:2" ht="16.5" customHeight="1" x14ac:dyDescent="0.35">
      <c r="A6" s="174" t="s">
        <v>395</v>
      </c>
      <c r="B6" s="175" t="s">
        <v>400</v>
      </c>
    </row>
    <row r="7" spans="1:2" ht="16.5" customHeight="1" x14ac:dyDescent="0.35">
      <c r="A7" s="174" t="s">
        <v>395</v>
      </c>
      <c r="B7" s="175" t="s">
        <v>401</v>
      </c>
    </row>
    <row r="8" spans="1:2" ht="16.5" customHeight="1" x14ac:dyDescent="0.35">
      <c r="A8" s="174" t="s">
        <v>395</v>
      </c>
      <c r="B8" s="175" t="s">
        <v>402</v>
      </c>
    </row>
    <row r="9" spans="1:2" ht="16.5" customHeight="1" x14ac:dyDescent="0.35">
      <c r="A9" s="174" t="s">
        <v>395</v>
      </c>
      <c r="B9" s="175" t="s">
        <v>403</v>
      </c>
    </row>
    <row r="10" spans="1:2" ht="16.5" customHeight="1" x14ac:dyDescent="0.35">
      <c r="A10" s="174" t="s">
        <v>404</v>
      </c>
      <c r="B10" s="175" t="s">
        <v>405</v>
      </c>
    </row>
    <row r="11" spans="1:2" ht="16.5" customHeight="1" x14ac:dyDescent="0.35">
      <c r="A11" s="174" t="s">
        <v>404</v>
      </c>
      <c r="B11" s="175" t="s">
        <v>406</v>
      </c>
    </row>
    <row r="12" spans="1:2" ht="16.5" customHeight="1" x14ac:dyDescent="0.35">
      <c r="A12" s="174" t="s">
        <v>404</v>
      </c>
      <c r="B12" s="175" t="s">
        <v>407</v>
      </c>
    </row>
    <row r="13" spans="1:2" ht="16.5" customHeight="1" x14ac:dyDescent="0.35">
      <c r="A13" s="174" t="s">
        <v>404</v>
      </c>
      <c r="B13" s="175" t="s">
        <v>408</v>
      </c>
    </row>
    <row r="14" spans="1:2" ht="16.5" customHeight="1" x14ac:dyDescent="0.35">
      <c r="A14" s="174" t="s">
        <v>404</v>
      </c>
      <c r="B14" s="175" t="s">
        <v>409</v>
      </c>
    </row>
    <row r="15" spans="1:2" ht="16.5" customHeight="1" x14ac:dyDescent="0.35">
      <c r="A15" s="174" t="s">
        <v>404</v>
      </c>
      <c r="B15" s="175" t="s">
        <v>410</v>
      </c>
    </row>
    <row r="16" spans="1:2" ht="16.5" customHeight="1" x14ac:dyDescent="0.35">
      <c r="A16" s="174" t="s">
        <v>411</v>
      </c>
      <c r="B16" s="175" t="s">
        <v>412</v>
      </c>
    </row>
    <row r="17" spans="1:2" ht="16.5" customHeight="1" x14ac:dyDescent="0.35">
      <c r="A17" s="174" t="s">
        <v>411</v>
      </c>
      <c r="B17" s="175" t="s">
        <v>413</v>
      </c>
    </row>
    <row r="18" spans="1:2" ht="16.5" customHeight="1" x14ac:dyDescent="0.35">
      <c r="A18" s="174" t="s">
        <v>411</v>
      </c>
      <c r="B18" s="175" t="s">
        <v>414</v>
      </c>
    </row>
    <row r="19" spans="1:2" ht="16.5" customHeight="1" x14ac:dyDescent="0.35">
      <c r="A19" s="174" t="s">
        <v>411</v>
      </c>
      <c r="B19" s="175" t="s">
        <v>415</v>
      </c>
    </row>
    <row r="20" spans="1:2" ht="16.5" customHeight="1" x14ac:dyDescent="0.35">
      <c r="A20" s="174" t="s">
        <v>411</v>
      </c>
      <c r="B20" s="175" t="s">
        <v>416</v>
      </c>
    </row>
    <row r="21" spans="1:2" ht="16.5" customHeight="1" x14ac:dyDescent="0.35">
      <c r="A21" s="174" t="s">
        <v>411</v>
      </c>
      <c r="B21" s="175" t="s">
        <v>417</v>
      </c>
    </row>
    <row r="22" spans="1:2" ht="16.5" customHeight="1" x14ac:dyDescent="0.35">
      <c r="A22" s="174" t="s">
        <v>411</v>
      </c>
      <c r="B22" s="175" t="s">
        <v>418</v>
      </c>
    </row>
    <row r="23" spans="1:2" ht="16.5" customHeight="1" x14ac:dyDescent="0.35">
      <c r="A23" s="174" t="s">
        <v>411</v>
      </c>
      <c r="B23" s="175" t="s">
        <v>419</v>
      </c>
    </row>
    <row r="24" spans="1:2" ht="16.5" customHeight="1" x14ac:dyDescent="0.35">
      <c r="A24" s="174" t="s">
        <v>411</v>
      </c>
      <c r="B24" s="175" t="s">
        <v>420</v>
      </c>
    </row>
    <row r="25" spans="1:2" ht="16.5" customHeight="1" x14ac:dyDescent="0.35">
      <c r="A25" s="174" t="s">
        <v>411</v>
      </c>
      <c r="B25" s="175" t="s">
        <v>421</v>
      </c>
    </row>
    <row r="26" spans="1:2" ht="16.5" customHeight="1" x14ac:dyDescent="0.35">
      <c r="A26" s="174" t="s">
        <v>422</v>
      </c>
      <c r="B26" s="175" t="s">
        <v>423</v>
      </c>
    </row>
    <row r="27" spans="1:2" ht="16.5" customHeight="1" x14ac:dyDescent="0.35">
      <c r="A27" s="174" t="s">
        <v>422</v>
      </c>
      <c r="B27" s="175" t="s">
        <v>424</v>
      </c>
    </row>
    <row r="28" spans="1:2" ht="16.5" customHeight="1" x14ac:dyDescent="0.35">
      <c r="A28" s="174" t="s">
        <v>422</v>
      </c>
      <c r="B28" s="175" t="s">
        <v>425</v>
      </c>
    </row>
    <row r="29" spans="1:2" ht="16.5" customHeight="1" x14ac:dyDescent="0.35">
      <c r="A29" s="174" t="s">
        <v>422</v>
      </c>
      <c r="B29" s="175" t="s">
        <v>426</v>
      </c>
    </row>
    <row r="30" spans="1:2" ht="16.5" customHeight="1" x14ac:dyDescent="0.35">
      <c r="A30" s="174" t="s">
        <v>422</v>
      </c>
      <c r="B30" s="175" t="s">
        <v>427</v>
      </c>
    </row>
    <row r="31" spans="1:2" ht="16.5" customHeight="1" x14ac:dyDescent="0.35">
      <c r="A31" s="174" t="s">
        <v>422</v>
      </c>
      <c r="B31" s="175" t="s">
        <v>428</v>
      </c>
    </row>
    <row r="32" spans="1:2" ht="16.5" customHeight="1" x14ac:dyDescent="0.35">
      <c r="A32" s="176" t="s">
        <v>422</v>
      </c>
      <c r="B32" s="177" t="s">
        <v>429</v>
      </c>
    </row>
    <row r="33" spans="1:2" ht="16.5" customHeight="1" x14ac:dyDescent="0.35">
      <c r="A33" s="174" t="s">
        <v>430</v>
      </c>
      <c r="B33" s="175" t="s">
        <v>431</v>
      </c>
    </row>
    <row r="34" spans="1:2" ht="16.5" customHeight="1" x14ac:dyDescent="0.35">
      <c r="A34" s="174" t="s">
        <v>430</v>
      </c>
      <c r="B34" s="175" t="s">
        <v>432</v>
      </c>
    </row>
    <row r="35" spans="1:2" ht="16.5" customHeight="1" x14ac:dyDescent="0.35">
      <c r="A35" s="174" t="s">
        <v>430</v>
      </c>
      <c r="B35" s="175" t="s">
        <v>433</v>
      </c>
    </row>
    <row r="36" spans="1:2" ht="16.5" customHeight="1" x14ac:dyDescent="0.35">
      <c r="A36" s="174" t="s">
        <v>430</v>
      </c>
      <c r="B36" s="175" t="s">
        <v>434</v>
      </c>
    </row>
    <row r="37" spans="1:2" ht="16.5" customHeight="1" x14ac:dyDescent="0.35">
      <c r="A37" s="174" t="s">
        <v>430</v>
      </c>
      <c r="B37" s="175" t="s">
        <v>435</v>
      </c>
    </row>
    <row r="38" spans="1:2" ht="16.5" customHeight="1" x14ac:dyDescent="0.35">
      <c r="A38" s="174" t="s">
        <v>430</v>
      </c>
      <c r="B38" s="175" t="s">
        <v>436</v>
      </c>
    </row>
    <row r="39" spans="1:2" ht="16.5" customHeight="1" x14ac:dyDescent="0.35">
      <c r="A39" s="174" t="s">
        <v>430</v>
      </c>
      <c r="B39" s="175" t="s">
        <v>437</v>
      </c>
    </row>
    <row r="40" spans="1:2" ht="16.5" customHeight="1" x14ac:dyDescent="0.35">
      <c r="A40" s="174" t="s">
        <v>430</v>
      </c>
      <c r="B40" s="175" t="s">
        <v>438</v>
      </c>
    </row>
    <row r="41" spans="1:2" ht="16.5" customHeight="1" x14ac:dyDescent="0.35">
      <c r="A41" s="174" t="s">
        <v>430</v>
      </c>
      <c r="B41" s="175" t="s">
        <v>439</v>
      </c>
    </row>
    <row r="42" spans="1:2" ht="16.5" customHeight="1" x14ac:dyDescent="0.35">
      <c r="A42" s="174" t="s">
        <v>430</v>
      </c>
      <c r="B42" s="175" t="s">
        <v>440</v>
      </c>
    </row>
    <row r="43" spans="1:2" ht="16.5" customHeight="1" x14ac:dyDescent="0.35">
      <c r="A43" s="174" t="s">
        <v>430</v>
      </c>
      <c r="B43" s="175" t="s">
        <v>441</v>
      </c>
    </row>
    <row r="44" spans="1:2" ht="16.5" customHeight="1" x14ac:dyDescent="0.35">
      <c r="A44" s="174" t="s">
        <v>430</v>
      </c>
      <c r="B44" s="175" t="s">
        <v>442</v>
      </c>
    </row>
    <row r="45" spans="1:2" ht="16.5" customHeight="1" x14ac:dyDescent="0.35">
      <c r="A45" s="174" t="s">
        <v>430</v>
      </c>
      <c r="B45" s="175" t="s">
        <v>443</v>
      </c>
    </row>
    <row r="46" spans="1:2" ht="16.5" customHeight="1" x14ac:dyDescent="0.35">
      <c r="A46" s="174" t="s">
        <v>430</v>
      </c>
      <c r="B46" s="175" t="s">
        <v>444</v>
      </c>
    </row>
    <row r="47" spans="1:2" ht="16.5" customHeight="1" x14ac:dyDescent="0.35">
      <c r="A47" s="174" t="s">
        <v>445</v>
      </c>
      <c r="B47" s="175" t="s">
        <v>446</v>
      </c>
    </row>
    <row r="48" spans="1:2" ht="16.5" customHeight="1" x14ac:dyDescent="0.35">
      <c r="A48" s="174" t="s">
        <v>445</v>
      </c>
      <c r="B48" s="175" t="s">
        <v>447</v>
      </c>
    </row>
    <row r="49" spans="1:2" ht="16.5" customHeight="1" x14ac:dyDescent="0.35">
      <c r="A49" s="174" t="s">
        <v>445</v>
      </c>
      <c r="B49" s="175" t="s">
        <v>448</v>
      </c>
    </row>
    <row r="50" spans="1:2" ht="16.5" customHeight="1" x14ac:dyDescent="0.35">
      <c r="A50" s="174" t="s">
        <v>445</v>
      </c>
      <c r="B50" s="175" t="s">
        <v>449</v>
      </c>
    </row>
    <row r="51" spans="1:2" ht="16.5" customHeight="1" x14ac:dyDescent="0.35">
      <c r="A51" s="174" t="s">
        <v>445</v>
      </c>
      <c r="B51" s="175" t="s">
        <v>450</v>
      </c>
    </row>
    <row r="52" spans="1:2" ht="16.5" customHeight="1" x14ac:dyDescent="0.35">
      <c r="A52" s="174" t="s">
        <v>445</v>
      </c>
      <c r="B52" s="175" t="s">
        <v>451</v>
      </c>
    </row>
    <row r="53" spans="1:2" ht="16.5" customHeight="1" x14ac:dyDescent="0.35">
      <c r="A53" s="174" t="s">
        <v>445</v>
      </c>
      <c r="B53" s="175" t="s">
        <v>452</v>
      </c>
    </row>
    <row r="54" spans="1:2" ht="16.5" customHeight="1" x14ac:dyDescent="0.35">
      <c r="A54" s="174" t="s">
        <v>445</v>
      </c>
      <c r="B54" s="175" t="s">
        <v>453</v>
      </c>
    </row>
    <row r="55" spans="1:2" ht="16.5" customHeight="1" x14ac:dyDescent="0.35">
      <c r="A55" s="174" t="s">
        <v>445</v>
      </c>
      <c r="B55" s="175" t="s">
        <v>454</v>
      </c>
    </row>
    <row r="56" spans="1:2" ht="16.5" customHeight="1" x14ac:dyDescent="0.35">
      <c r="A56" s="174" t="s">
        <v>445</v>
      </c>
      <c r="B56" s="175" t="s">
        <v>455</v>
      </c>
    </row>
    <row r="57" spans="1:2" ht="16.5" customHeight="1" x14ac:dyDescent="0.35">
      <c r="A57" s="174" t="s">
        <v>445</v>
      </c>
      <c r="B57" s="175" t="s">
        <v>456</v>
      </c>
    </row>
    <row r="58" spans="1:2" ht="16.5" customHeight="1" x14ac:dyDescent="0.35">
      <c r="A58" s="174" t="s">
        <v>445</v>
      </c>
      <c r="B58" s="175" t="s">
        <v>457</v>
      </c>
    </row>
    <row r="59" spans="1:2" ht="16.5" customHeight="1" x14ac:dyDescent="0.35">
      <c r="A59" s="174" t="s">
        <v>445</v>
      </c>
      <c r="B59" s="175" t="s">
        <v>458</v>
      </c>
    </row>
    <row r="60" spans="1:2" ht="16.5" customHeight="1" x14ac:dyDescent="0.35">
      <c r="A60" s="174" t="s">
        <v>445</v>
      </c>
      <c r="B60" s="175" t="s">
        <v>459</v>
      </c>
    </row>
    <row r="61" spans="1:2" ht="16.5" customHeight="1" x14ac:dyDescent="0.35">
      <c r="A61" s="174" t="s">
        <v>445</v>
      </c>
      <c r="B61" s="175" t="s">
        <v>460</v>
      </c>
    </row>
    <row r="62" spans="1:2" ht="16.5" customHeight="1" x14ac:dyDescent="0.35">
      <c r="A62" s="174" t="s">
        <v>445</v>
      </c>
      <c r="B62" s="175" t="s">
        <v>461</v>
      </c>
    </row>
    <row r="63" spans="1:2" ht="16.5" customHeight="1" x14ac:dyDescent="0.35">
      <c r="A63" s="174" t="s">
        <v>445</v>
      </c>
      <c r="B63" s="175" t="s">
        <v>462</v>
      </c>
    </row>
    <row r="64" spans="1:2" ht="16.5" customHeight="1" x14ac:dyDescent="0.35">
      <c r="A64" s="174" t="s">
        <v>445</v>
      </c>
      <c r="B64" s="175" t="s">
        <v>463</v>
      </c>
    </row>
    <row r="65" spans="1:2" ht="16.5" customHeight="1" x14ac:dyDescent="0.35">
      <c r="A65" s="174" t="s">
        <v>464</v>
      </c>
      <c r="B65" s="175" t="s">
        <v>465</v>
      </c>
    </row>
    <row r="66" spans="1:2" ht="16.5" customHeight="1" x14ac:dyDescent="0.35">
      <c r="A66" s="174" t="s">
        <v>464</v>
      </c>
      <c r="B66" s="175" t="s">
        <v>466</v>
      </c>
    </row>
    <row r="67" spans="1:2" ht="16.5" customHeight="1" x14ac:dyDescent="0.35">
      <c r="A67" s="174" t="s">
        <v>464</v>
      </c>
      <c r="B67" s="175" t="s">
        <v>467</v>
      </c>
    </row>
    <row r="68" spans="1:2" ht="16.5" customHeight="1" x14ac:dyDescent="0.35">
      <c r="A68" s="174" t="s">
        <v>464</v>
      </c>
      <c r="B68" s="175" t="s">
        <v>468</v>
      </c>
    </row>
    <row r="69" spans="1:2" ht="16.5" customHeight="1" x14ac:dyDescent="0.35">
      <c r="A69" s="174" t="s">
        <v>464</v>
      </c>
      <c r="B69" s="175" t="s">
        <v>469</v>
      </c>
    </row>
    <row r="70" spans="1:2" ht="16.5" customHeight="1" x14ac:dyDescent="0.35">
      <c r="A70" s="174" t="s">
        <v>464</v>
      </c>
      <c r="B70" s="175" t="s">
        <v>470</v>
      </c>
    </row>
    <row r="71" spans="1:2" ht="16.5" customHeight="1" x14ac:dyDescent="0.35">
      <c r="A71" s="174" t="s">
        <v>464</v>
      </c>
      <c r="B71" s="175" t="s">
        <v>471</v>
      </c>
    </row>
    <row r="72" spans="1:2" ht="16.5" customHeight="1" x14ac:dyDescent="0.35">
      <c r="A72" s="174" t="s">
        <v>464</v>
      </c>
      <c r="B72" s="175" t="s">
        <v>472</v>
      </c>
    </row>
    <row r="73" spans="1:2" ht="16.5" customHeight="1" x14ac:dyDescent="0.35">
      <c r="A73" s="174" t="s">
        <v>464</v>
      </c>
      <c r="B73" s="175" t="s">
        <v>473</v>
      </c>
    </row>
    <row r="74" spans="1:2" ht="16.5" customHeight="1" x14ac:dyDescent="0.35">
      <c r="A74" s="174" t="s">
        <v>464</v>
      </c>
      <c r="B74" s="175" t="s">
        <v>474</v>
      </c>
    </row>
    <row r="75" spans="1:2" ht="16.5" customHeight="1" x14ac:dyDescent="0.35">
      <c r="A75" s="174" t="s">
        <v>464</v>
      </c>
      <c r="B75" s="175" t="s">
        <v>475</v>
      </c>
    </row>
    <row r="76" spans="1:2" ht="16.5" customHeight="1" x14ac:dyDescent="0.35">
      <c r="A76" s="174" t="s">
        <v>464</v>
      </c>
      <c r="B76" s="175" t="s">
        <v>476</v>
      </c>
    </row>
    <row r="77" spans="1:2" ht="16.5" customHeight="1" x14ac:dyDescent="0.35">
      <c r="A77" s="174" t="s">
        <v>464</v>
      </c>
      <c r="B77" s="175" t="s">
        <v>477</v>
      </c>
    </row>
    <row r="78" spans="1:2" ht="16.5" customHeight="1" x14ac:dyDescent="0.35">
      <c r="A78" s="174" t="s">
        <v>464</v>
      </c>
      <c r="B78" s="175" t="s">
        <v>478</v>
      </c>
    </row>
    <row r="79" spans="1:2" ht="16.5" customHeight="1" x14ac:dyDescent="0.35">
      <c r="A79" s="174" t="s">
        <v>464</v>
      </c>
      <c r="B79" s="175" t="s">
        <v>479</v>
      </c>
    </row>
    <row r="80" spans="1:2" ht="16.5" customHeight="1" x14ac:dyDescent="0.35">
      <c r="A80" s="174" t="s">
        <v>464</v>
      </c>
      <c r="B80" s="175" t="s">
        <v>480</v>
      </c>
    </row>
    <row r="81" spans="1:2" ht="16.5" customHeight="1" x14ac:dyDescent="0.35">
      <c r="A81" s="174" t="s">
        <v>481</v>
      </c>
      <c r="B81" s="175" t="s">
        <v>482</v>
      </c>
    </row>
    <row r="82" spans="1:2" ht="16.5" customHeight="1" x14ac:dyDescent="0.35">
      <c r="A82" s="174" t="s">
        <v>481</v>
      </c>
      <c r="B82" s="175" t="s">
        <v>483</v>
      </c>
    </row>
    <row r="83" spans="1:2" ht="16.5" customHeight="1" x14ac:dyDescent="0.35">
      <c r="A83" s="174" t="s">
        <v>481</v>
      </c>
      <c r="B83" s="175" t="s">
        <v>484</v>
      </c>
    </row>
    <row r="84" spans="1:2" ht="16.5" customHeight="1" x14ac:dyDescent="0.35">
      <c r="A84" s="174" t="s">
        <v>481</v>
      </c>
      <c r="B84" s="175" t="s">
        <v>485</v>
      </c>
    </row>
    <row r="85" spans="1:2" ht="16.5" customHeight="1" x14ac:dyDescent="0.35">
      <c r="A85" s="174" t="s">
        <v>481</v>
      </c>
      <c r="B85" s="175" t="s">
        <v>486</v>
      </c>
    </row>
    <row r="86" spans="1:2" ht="16.5" customHeight="1" x14ac:dyDescent="0.35">
      <c r="A86" s="174" t="s">
        <v>481</v>
      </c>
      <c r="B86" s="175" t="s">
        <v>487</v>
      </c>
    </row>
    <row r="87" spans="1:2" ht="16.5" customHeight="1" x14ac:dyDescent="0.35">
      <c r="A87" s="41"/>
      <c r="B87" s="34"/>
    </row>
    <row r="88" spans="1:2" ht="16.5" customHeight="1" x14ac:dyDescent="0.35">
      <c r="A88" s="178"/>
      <c r="B88" s="178"/>
    </row>
    <row r="89" spans="1:2" ht="16.5" customHeight="1" x14ac:dyDescent="0.35">
      <c r="A89" s="41"/>
      <c r="B89" s="34"/>
    </row>
    <row r="90" spans="1:2" ht="16.5" customHeight="1" x14ac:dyDescent="0.35">
      <c r="A90" s="41"/>
      <c r="B90" s="34"/>
    </row>
    <row r="91" spans="1:2" ht="16.5" customHeight="1" x14ac:dyDescent="0.35">
      <c r="A91" s="41"/>
      <c r="B91" s="34"/>
    </row>
    <row r="92" spans="1:2" ht="16.5" customHeight="1" x14ac:dyDescent="0.35">
      <c r="A92" s="41"/>
      <c r="B92" s="34"/>
    </row>
    <row r="93" spans="1:2" ht="16.5" customHeight="1" x14ac:dyDescent="0.35">
      <c r="A93" s="41"/>
      <c r="B93" s="34"/>
    </row>
    <row r="94" spans="1:2" ht="16.5" customHeight="1" x14ac:dyDescent="0.35">
      <c r="A94" s="41"/>
      <c r="B94" s="34"/>
    </row>
    <row r="95" spans="1:2" ht="16.5" customHeight="1" x14ac:dyDescent="0.35">
      <c r="A95" s="41"/>
      <c r="B95" s="34"/>
    </row>
    <row r="96" spans="1:2" ht="16.5" customHeight="1" x14ac:dyDescent="0.35">
      <c r="A96" s="41"/>
      <c r="B96" s="34"/>
    </row>
    <row r="97" spans="1:2" ht="16.5" customHeight="1" x14ac:dyDescent="0.35">
      <c r="A97" s="41"/>
      <c r="B97" s="34"/>
    </row>
    <row r="98" spans="1:2" ht="16.5" customHeight="1" x14ac:dyDescent="0.35">
      <c r="A98" s="41"/>
      <c r="B98" s="34"/>
    </row>
    <row r="99" spans="1:2" ht="16.5" customHeight="1" x14ac:dyDescent="0.35">
      <c r="A99" s="41"/>
      <c r="B99" s="34"/>
    </row>
    <row r="100" spans="1:2" ht="16.5" customHeight="1" x14ac:dyDescent="0.35">
      <c r="A100" s="41"/>
      <c r="B100" s="34"/>
    </row>
    <row r="101" spans="1:2" ht="16.5" customHeight="1" x14ac:dyDescent="0.35">
      <c r="A101" s="41"/>
      <c r="B101" s="34"/>
    </row>
    <row r="102" spans="1:2" ht="16.5" customHeight="1" x14ac:dyDescent="0.35">
      <c r="A102" s="41"/>
      <c r="B102" s="34"/>
    </row>
    <row r="103" spans="1:2" ht="16.5" customHeight="1" x14ac:dyDescent="0.35">
      <c r="A103" s="41"/>
      <c r="B103" s="34"/>
    </row>
    <row r="104" spans="1:2" ht="16.5" customHeight="1" x14ac:dyDescent="0.35">
      <c r="A104" s="41"/>
      <c r="B104" s="34"/>
    </row>
    <row r="105" spans="1:2" ht="16.5" customHeight="1" x14ac:dyDescent="0.35">
      <c r="A105" s="41"/>
      <c r="B105" s="34"/>
    </row>
    <row r="106" spans="1:2" ht="16.5" customHeight="1" x14ac:dyDescent="0.35">
      <c r="A106" s="41"/>
      <c r="B106" s="34"/>
    </row>
    <row r="107" spans="1:2" ht="16.5" customHeight="1" x14ac:dyDescent="0.35">
      <c r="A107" s="41"/>
      <c r="B107" s="34"/>
    </row>
    <row r="108" spans="1:2" ht="16.5" customHeight="1" x14ac:dyDescent="0.35">
      <c r="A108" s="41"/>
      <c r="B108" s="34"/>
    </row>
    <row r="109" spans="1:2" ht="16.5" customHeight="1" x14ac:dyDescent="0.35">
      <c r="A109" s="41"/>
      <c r="B109" s="34"/>
    </row>
    <row r="110" spans="1:2" ht="16.5" customHeight="1" x14ac:dyDescent="0.35">
      <c r="A110" s="41"/>
      <c r="B110" s="34"/>
    </row>
    <row r="111" spans="1:2" ht="16.5" customHeight="1" x14ac:dyDescent="0.35">
      <c r="A111" s="41"/>
      <c r="B111" s="34"/>
    </row>
    <row r="112" spans="1:2" ht="16.5" customHeight="1" x14ac:dyDescent="0.35">
      <c r="A112" s="41"/>
      <c r="B112" s="34"/>
    </row>
    <row r="113" spans="1:2" ht="16.5" customHeight="1" x14ac:dyDescent="0.35">
      <c r="A113" s="41"/>
      <c r="B113" s="34"/>
    </row>
    <row r="114" spans="1:2" ht="16.5" customHeight="1" x14ac:dyDescent="0.35">
      <c r="A114" s="41"/>
      <c r="B114" s="34"/>
    </row>
    <row r="115" spans="1:2" ht="16.5" customHeight="1" x14ac:dyDescent="0.35">
      <c r="A115" s="41"/>
      <c r="B115" s="34"/>
    </row>
    <row r="116" spans="1:2" ht="16.5" customHeight="1" x14ac:dyDescent="0.35">
      <c r="A116" s="41"/>
      <c r="B116" s="34"/>
    </row>
    <row r="117" spans="1:2" ht="16.5" customHeight="1" x14ac:dyDescent="0.35">
      <c r="A117" s="41"/>
      <c r="B117" s="34"/>
    </row>
    <row r="118" spans="1:2" ht="16.5" customHeight="1" x14ac:dyDescent="0.35">
      <c r="A118" s="41"/>
      <c r="B118" s="34"/>
    </row>
    <row r="119" spans="1:2" ht="16.5" customHeight="1" x14ac:dyDescent="0.35">
      <c r="A119" s="41"/>
      <c r="B119" s="34"/>
    </row>
    <row r="120" spans="1:2" ht="16.5" customHeight="1" x14ac:dyDescent="0.35">
      <c r="A120" s="41"/>
      <c r="B120" s="34"/>
    </row>
    <row r="121" spans="1:2" ht="16.5" customHeight="1" x14ac:dyDescent="0.35">
      <c r="A121" s="41"/>
      <c r="B121" s="34"/>
    </row>
    <row r="122" spans="1:2" ht="16.5" customHeight="1" x14ac:dyDescent="0.35">
      <c r="A122" s="41"/>
      <c r="B122" s="34"/>
    </row>
    <row r="123" spans="1:2" ht="16.5" customHeight="1" x14ac:dyDescent="0.35">
      <c r="A123" s="41"/>
      <c r="B123" s="34"/>
    </row>
    <row r="124" spans="1:2" ht="16.5" customHeight="1" x14ac:dyDescent="0.35">
      <c r="A124" s="41"/>
      <c r="B124" s="34"/>
    </row>
    <row r="125" spans="1:2" ht="16.5" customHeight="1" x14ac:dyDescent="0.35">
      <c r="A125" s="41"/>
      <c r="B125" s="34"/>
    </row>
    <row r="126" spans="1:2" ht="16.5" customHeight="1" x14ac:dyDescent="0.35">
      <c r="A126" s="41"/>
      <c r="B126" s="34"/>
    </row>
    <row r="127" spans="1:2" ht="16.5" customHeight="1" x14ac:dyDescent="0.35">
      <c r="A127" s="41"/>
      <c r="B127" s="34"/>
    </row>
    <row r="128" spans="1:2" ht="16.5" customHeight="1" x14ac:dyDescent="0.35">
      <c r="A128" s="41"/>
      <c r="B128" s="34"/>
    </row>
    <row r="129" spans="1:2" ht="16.5" customHeight="1" x14ac:dyDescent="0.35">
      <c r="A129" s="41"/>
      <c r="B129" s="34"/>
    </row>
    <row r="130" spans="1:2" ht="16.5" customHeight="1" x14ac:dyDescent="0.35">
      <c r="A130" s="41"/>
      <c r="B130" s="34"/>
    </row>
    <row r="131" spans="1:2" ht="16.5" customHeight="1" x14ac:dyDescent="0.35">
      <c r="A131" s="41"/>
      <c r="B131" s="34"/>
    </row>
    <row r="132" spans="1:2" ht="16.5" customHeight="1" x14ac:dyDescent="0.35">
      <c r="A132" s="41"/>
      <c r="B132" s="34"/>
    </row>
    <row r="133" spans="1:2" ht="16.5" customHeight="1" x14ac:dyDescent="0.35">
      <c r="A133" s="41"/>
      <c r="B133" s="34"/>
    </row>
    <row r="134" spans="1:2" ht="16.5" customHeight="1" x14ac:dyDescent="0.35">
      <c r="A134" s="41"/>
      <c r="B134" s="34"/>
    </row>
    <row r="135" spans="1:2" ht="16.5" customHeight="1" x14ac:dyDescent="0.35">
      <c r="A135" s="41"/>
      <c r="B135" s="34"/>
    </row>
    <row r="136" spans="1:2" ht="16.5" customHeight="1" x14ac:dyDescent="0.35">
      <c r="A136" s="41"/>
      <c r="B136" s="34"/>
    </row>
    <row r="137" spans="1:2" ht="16.5" customHeight="1" x14ac:dyDescent="0.35">
      <c r="A137" s="41"/>
      <c r="B137" s="34"/>
    </row>
    <row r="138" spans="1:2" ht="16.5" customHeight="1" x14ac:dyDescent="0.35">
      <c r="A138" s="41"/>
      <c r="B138" s="34"/>
    </row>
    <row r="139" spans="1:2" ht="16.5" customHeight="1" x14ac:dyDescent="0.35">
      <c r="A139" s="41"/>
      <c r="B139" s="34"/>
    </row>
    <row r="140" spans="1:2" ht="16.5" customHeight="1" x14ac:dyDescent="0.35">
      <c r="A140" s="41"/>
      <c r="B140" s="34"/>
    </row>
    <row r="141" spans="1:2" ht="16.5" customHeight="1" x14ac:dyDescent="0.35">
      <c r="A141" s="41"/>
      <c r="B141" s="34"/>
    </row>
    <row r="142" spans="1:2" ht="16.5" customHeight="1" x14ac:dyDescent="0.35">
      <c r="A142" s="41"/>
      <c r="B142" s="34"/>
    </row>
    <row r="143" spans="1:2" ht="16.5" customHeight="1" x14ac:dyDescent="0.35">
      <c r="A143" s="41"/>
      <c r="B143" s="34"/>
    </row>
    <row r="144" spans="1:2" ht="16.5" customHeight="1" x14ac:dyDescent="0.35">
      <c r="A144" s="41"/>
      <c r="B144" s="34"/>
    </row>
    <row r="145" spans="1:2" ht="16.5" customHeight="1" x14ac:dyDescent="0.35">
      <c r="A145" s="41"/>
      <c r="B145" s="34"/>
    </row>
    <row r="146" spans="1:2" ht="16.5" customHeight="1" x14ac:dyDescent="0.35">
      <c r="A146" s="41"/>
      <c r="B146" s="34"/>
    </row>
    <row r="147" spans="1:2" ht="16.5" customHeight="1" x14ac:dyDescent="0.35">
      <c r="A147" s="41"/>
      <c r="B147" s="34"/>
    </row>
    <row r="148" spans="1:2" ht="16.5" customHeight="1" x14ac:dyDescent="0.35">
      <c r="A148" s="41"/>
      <c r="B148" s="34"/>
    </row>
    <row r="149" spans="1:2" ht="16.5" customHeight="1" x14ac:dyDescent="0.35">
      <c r="A149" s="41"/>
      <c r="B149" s="34"/>
    </row>
    <row r="150" spans="1:2" ht="16.5" customHeight="1" x14ac:dyDescent="0.35">
      <c r="A150" s="41"/>
      <c r="B150" s="34"/>
    </row>
    <row r="151" spans="1:2" ht="16.5" customHeight="1" x14ac:dyDescent="0.35">
      <c r="A151" s="41"/>
      <c r="B151" s="34"/>
    </row>
    <row r="152" spans="1:2" ht="16.5" customHeight="1" x14ac:dyDescent="0.35">
      <c r="A152" s="41"/>
      <c r="B152" s="34"/>
    </row>
    <row r="153" spans="1:2" ht="16.5" customHeight="1" x14ac:dyDescent="0.35">
      <c r="A153" s="41"/>
      <c r="B153" s="34"/>
    </row>
    <row r="154" spans="1:2" ht="16.5" customHeight="1" x14ac:dyDescent="0.35">
      <c r="A154" s="41"/>
      <c r="B154" s="34"/>
    </row>
    <row r="155" spans="1:2" ht="16.5" customHeight="1" x14ac:dyDescent="0.35">
      <c r="A155" s="41"/>
      <c r="B155" s="34"/>
    </row>
    <row r="156" spans="1:2" ht="16.5" customHeight="1" x14ac:dyDescent="0.35">
      <c r="A156" s="41"/>
      <c r="B156" s="34"/>
    </row>
    <row r="157" spans="1:2" ht="16.5" customHeight="1" x14ac:dyDescent="0.35">
      <c r="A157" s="41"/>
      <c r="B157" s="34"/>
    </row>
    <row r="158" spans="1:2" ht="16.5" customHeight="1" x14ac:dyDescent="0.35">
      <c r="A158" s="41"/>
      <c r="B158" s="34"/>
    </row>
    <row r="159" spans="1:2" ht="16.5" customHeight="1" x14ac:dyDescent="0.35">
      <c r="A159" s="41"/>
      <c r="B159" s="34"/>
    </row>
    <row r="160" spans="1:2" ht="16.5" customHeight="1" x14ac:dyDescent="0.35">
      <c r="A160" s="41"/>
      <c r="B160" s="34"/>
    </row>
    <row r="161" spans="1:2" ht="16.5" customHeight="1" x14ac:dyDescent="0.35">
      <c r="A161" s="41"/>
      <c r="B161" s="34"/>
    </row>
    <row r="162" spans="1:2" ht="16.5" customHeight="1" x14ac:dyDescent="0.35">
      <c r="A162" s="41"/>
      <c r="B162" s="34"/>
    </row>
    <row r="163" spans="1:2" ht="16.5" customHeight="1" x14ac:dyDescent="0.35">
      <c r="A163" s="41"/>
      <c r="B163" s="34"/>
    </row>
    <row r="164" spans="1:2" ht="16.5" customHeight="1" x14ac:dyDescent="0.35">
      <c r="A164" s="41"/>
      <c r="B164" s="34"/>
    </row>
    <row r="165" spans="1:2" ht="16.5" customHeight="1" x14ac:dyDescent="0.35">
      <c r="A165" s="41"/>
      <c r="B165" s="34"/>
    </row>
    <row r="166" spans="1:2" ht="16.5" customHeight="1" x14ac:dyDescent="0.35">
      <c r="A166" s="41"/>
      <c r="B166" s="34"/>
    </row>
    <row r="167" spans="1:2" ht="16.5" customHeight="1" x14ac:dyDescent="0.35">
      <c r="A167" s="41"/>
      <c r="B167" s="34"/>
    </row>
    <row r="168" spans="1:2" ht="16.5" customHeight="1" x14ac:dyDescent="0.35">
      <c r="A168" s="41"/>
      <c r="B168" s="34"/>
    </row>
    <row r="169" spans="1:2" ht="16.5" customHeight="1" x14ac:dyDescent="0.35">
      <c r="A169" s="41"/>
      <c r="B169" s="34"/>
    </row>
    <row r="170" spans="1:2" ht="16.5" customHeight="1" x14ac:dyDescent="0.35">
      <c r="A170" s="41"/>
      <c r="B170" s="34"/>
    </row>
    <row r="171" spans="1:2" ht="16.5" customHeight="1" x14ac:dyDescent="0.35">
      <c r="A171" s="41"/>
      <c r="B171" s="34"/>
    </row>
    <row r="172" spans="1:2" ht="16.5" customHeight="1" x14ac:dyDescent="0.35">
      <c r="A172" s="41"/>
      <c r="B172" s="34"/>
    </row>
    <row r="173" spans="1:2" ht="16.5" customHeight="1" x14ac:dyDescent="0.35">
      <c r="A173" s="41"/>
      <c r="B173" s="34"/>
    </row>
    <row r="174" spans="1:2" ht="16.5" customHeight="1" x14ac:dyDescent="0.35">
      <c r="A174" s="41"/>
      <c r="B174" s="34"/>
    </row>
    <row r="175" spans="1:2" ht="16.5" customHeight="1" x14ac:dyDescent="0.35">
      <c r="A175" s="41"/>
      <c r="B175" s="34"/>
    </row>
    <row r="176" spans="1:2" ht="16.5" customHeight="1" x14ac:dyDescent="0.35">
      <c r="A176" s="41"/>
      <c r="B176" s="34"/>
    </row>
    <row r="177" spans="1:2" ht="16.5" customHeight="1" x14ac:dyDescent="0.35">
      <c r="A177" s="41"/>
      <c r="B177" s="34"/>
    </row>
    <row r="178" spans="1:2" ht="16.5" customHeight="1" x14ac:dyDescent="0.35">
      <c r="A178" s="41"/>
      <c r="B178" s="34"/>
    </row>
    <row r="179" spans="1:2" ht="16.5" customHeight="1" x14ac:dyDescent="0.35">
      <c r="A179" s="41"/>
      <c r="B179" s="34"/>
    </row>
    <row r="180" spans="1:2" ht="16.5" customHeight="1" x14ac:dyDescent="0.35">
      <c r="A180" s="41"/>
      <c r="B180" s="34"/>
    </row>
    <row r="181" spans="1:2" ht="16.5" customHeight="1" x14ac:dyDescent="0.35">
      <c r="A181" s="41"/>
      <c r="B181" s="34"/>
    </row>
    <row r="182" spans="1:2" ht="16.5" customHeight="1" x14ac:dyDescent="0.35">
      <c r="A182" s="41"/>
      <c r="B182" s="34"/>
    </row>
    <row r="183" spans="1:2" ht="16.5" customHeight="1" x14ac:dyDescent="0.35">
      <c r="A183" s="41"/>
      <c r="B183" s="34"/>
    </row>
    <row r="184" spans="1:2" ht="16.5" customHeight="1" x14ac:dyDescent="0.35">
      <c r="A184" s="41"/>
      <c r="B184" s="34"/>
    </row>
    <row r="185" spans="1:2" ht="16.5" customHeight="1" x14ac:dyDescent="0.35">
      <c r="A185" s="41"/>
      <c r="B185" s="34"/>
    </row>
    <row r="186" spans="1:2" ht="16.5" customHeight="1" x14ac:dyDescent="0.35">
      <c r="A186" s="41"/>
      <c r="B186" s="34"/>
    </row>
    <row r="187" spans="1:2" ht="16.5" customHeight="1" x14ac:dyDescent="0.35">
      <c r="A187" s="41"/>
      <c r="B187" s="34"/>
    </row>
    <row r="188" spans="1:2" ht="16.5" customHeight="1" x14ac:dyDescent="0.35">
      <c r="A188" s="41"/>
      <c r="B188" s="34"/>
    </row>
    <row r="189" spans="1:2" ht="16.5" customHeight="1" x14ac:dyDescent="0.35">
      <c r="A189" s="41"/>
      <c r="B189" s="34"/>
    </row>
    <row r="190" spans="1:2" ht="16.5" customHeight="1" x14ac:dyDescent="0.35">
      <c r="A190" s="41"/>
      <c r="B190" s="34"/>
    </row>
    <row r="191" spans="1:2" ht="16.5" customHeight="1" x14ac:dyDescent="0.35">
      <c r="A191" s="41"/>
      <c r="B191" s="34"/>
    </row>
    <row r="192" spans="1:2" ht="16.5" customHeight="1" x14ac:dyDescent="0.35">
      <c r="A192" s="41"/>
      <c r="B192" s="34"/>
    </row>
    <row r="193" spans="1:2" ht="16.5" customHeight="1" x14ac:dyDescent="0.35">
      <c r="A193" s="41"/>
      <c r="B193" s="34"/>
    </row>
    <row r="194" spans="1:2" ht="16.5" customHeight="1" x14ac:dyDescent="0.35">
      <c r="A194" s="41"/>
      <c r="B194" s="34"/>
    </row>
    <row r="195" spans="1:2" ht="16.5" customHeight="1" x14ac:dyDescent="0.35">
      <c r="A195" s="41"/>
      <c r="B195" s="34"/>
    </row>
    <row r="196" spans="1:2" ht="16.5" customHeight="1" x14ac:dyDescent="0.35">
      <c r="A196" s="41"/>
      <c r="B196" s="34"/>
    </row>
    <row r="197" spans="1:2" ht="16.5" customHeight="1" x14ac:dyDescent="0.35">
      <c r="A197" s="41"/>
      <c r="B197" s="34"/>
    </row>
    <row r="198" spans="1:2" ht="16.5" customHeight="1" x14ac:dyDescent="0.35">
      <c r="A198" s="41"/>
      <c r="B198" s="34"/>
    </row>
    <row r="199" spans="1:2" ht="16.5" customHeight="1" x14ac:dyDescent="0.35">
      <c r="A199" s="41"/>
      <c r="B199" s="34"/>
    </row>
    <row r="200" spans="1:2" ht="16.5" customHeight="1" x14ac:dyDescent="0.35">
      <c r="A200" s="41"/>
      <c r="B200" s="34"/>
    </row>
    <row r="201" spans="1:2" ht="16.5" customHeight="1" x14ac:dyDescent="0.35">
      <c r="A201" s="41"/>
      <c r="B201" s="34"/>
    </row>
    <row r="202" spans="1:2" ht="16.5" customHeight="1" x14ac:dyDescent="0.35">
      <c r="A202" s="41"/>
      <c r="B202" s="34"/>
    </row>
    <row r="203" spans="1:2" ht="16.5" customHeight="1" x14ac:dyDescent="0.35">
      <c r="A203" s="41"/>
      <c r="B203" s="34"/>
    </row>
    <row r="204" spans="1:2" ht="16.5" customHeight="1" x14ac:dyDescent="0.35">
      <c r="A204" s="41"/>
      <c r="B204" s="34"/>
    </row>
    <row r="205" spans="1:2" ht="16.5" customHeight="1" x14ac:dyDescent="0.35">
      <c r="A205" s="41"/>
      <c r="B205" s="34"/>
    </row>
    <row r="206" spans="1:2" ht="16.5" customHeight="1" x14ac:dyDescent="0.35">
      <c r="A206" s="41"/>
      <c r="B206" s="34"/>
    </row>
    <row r="207" spans="1:2" ht="16.5" customHeight="1" x14ac:dyDescent="0.35">
      <c r="A207" s="41"/>
      <c r="B207" s="34"/>
    </row>
    <row r="208" spans="1:2" ht="16.5" customHeight="1" x14ac:dyDescent="0.35">
      <c r="A208" s="41"/>
      <c r="B208" s="34"/>
    </row>
    <row r="209" spans="1:2" ht="16.5" customHeight="1" x14ac:dyDescent="0.35">
      <c r="A209" s="41"/>
      <c r="B209" s="34"/>
    </row>
    <row r="210" spans="1:2" ht="16.5" customHeight="1" x14ac:dyDescent="0.35">
      <c r="A210" s="41"/>
      <c r="B210" s="34"/>
    </row>
    <row r="211" spans="1:2" ht="16.5" customHeight="1" x14ac:dyDescent="0.35">
      <c r="A211" s="41"/>
      <c r="B211" s="34"/>
    </row>
    <row r="212" spans="1:2" ht="16.5" customHeight="1" x14ac:dyDescent="0.35">
      <c r="A212" s="41"/>
      <c r="B212" s="34"/>
    </row>
    <row r="213" spans="1:2" ht="16.5" customHeight="1" x14ac:dyDescent="0.35">
      <c r="A213" s="41"/>
      <c r="B213" s="34"/>
    </row>
    <row r="214" spans="1:2" ht="16.5" customHeight="1" x14ac:dyDescent="0.35">
      <c r="A214" s="41"/>
      <c r="B214" s="34"/>
    </row>
    <row r="215" spans="1:2" ht="16.5" customHeight="1" x14ac:dyDescent="0.35">
      <c r="A215" s="41"/>
      <c r="B215" s="34"/>
    </row>
    <row r="216" spans="1:2" ht="16.5" customHeight="1" x14ac:dyDescent="0.35">
      <c r="A216" s="41"/>
      <c r="B216" s="34"/>
    </row>
    <row r="217" spans="1:2" ht="16.5" customHeight="1" x14ac:dyDescent="0.35">
      <c r="A217" s="41"/>
      <c r="B217" s="34"/>
    </row>
    <row r="218" spans="1:2" ht="16.5" customHeight="1" x14ac:dyDescent="0.35">
      <c r="A218" s="41"/>
      <c r="B218" s="34"/>
    </row>
    <row r="219" spans="1:2" ht="16.5" customHeight="1" x14ac:dyDescent="0.35">
      <c r="A219" s="41"/>
      <c r="B219" s="34"/>
    </row>
    <row r="220" spans="1:2" ht="16.5" customHeight="1" x14ac:dyDescent="0.35">
      <c r="A220" s="41"/>
      <c r="B220" s="34"/>
    </row>
    <row r="221" spans="1:2" ht="16.5" customHeight="1" x14ac:dyDescent="0.35">
      <c r="A221" s="41"/>
      <c r="B221" s="34"/>
    </row>
    <row r="222" spans="1:2" ht="16.5" customHeight="1" x14ac:dyDescent="0.35">
      <c r="A222" s="41"/>
      <c r="B222" s="34"/>
    </row>
    <row r="223" spans="1:2" ht="16.5" customHeight="1" x14ac:dyDescent="0.35">
      <c r="A223" s="41"/>
      <c r="B223" s="34"/>
    </row>
    <row r="224" spans="1:2" ht="16.5" customHeight="1" x14ac:dyDescent="0.35">
      <c r="A224" s="41"/>
      <c r="B224" s="34"/>
    </row>
    <row r="225" spans="1:2" ht="16.5" customHeight="1" x14ac:dyDescent="0.35">
      <c r="A225" s="41"/>
      <c r="B225" s="34"/>
    </row>
    <row r="226" spans="1:2" ht="16.5" customHeight="1" x14ac:dyDescent="0.35">
      <c r="A226" s="41"/>
      <c r="B226" s="34"/>
    </row>
    <row r="227" spans="1:2" ht="16.5" customHeight="1" x14ac:dyDescent="0.35">
      <c r="A227" s="41"/>
      <c r="B227" s="34"/>
    </row>
    <row r="228" spans="1:2" ht="16.5" customHeight="1" x14ac:dyDescent="0.35">
      <c r="A228" s="41"/>
      <c r="B228" s="34"/>
    </row>
    <row r="229" spans="1:2" ht="16.5" customHeight="1" x14ac:dyDescent="0.35">
      <c r="A229" s="41"/>
      <c r="B229" s="34"/>
    </row>
    <row r="230" spans="1:2" ht="16.5" customHeight="1" x14ac:dyDescent="0.35">
      <c r="A230" s="41"/>
      <c r="B230" s="34"/>
    </row>
    <row r="231" spans="1:2" ht="16.5" customHeight="1" x14ac:dyDescent="0.35">
      <c r="A231" s="41"/>
      <c r="B231" s="34"/>
    </row>
    <row r="232" spans="1:2" ht="16.5" customHeight="1" x14ac:dyDescent="0.35">
      <c r="A232" s="41"/>
      <c r="B232" s="34"/>
    </row>
    <row r="233" spans="1:2" ht="16.5" customHeight="1" x14ac:dyDescent="0.35">
      <c r="A233" s="41"/>
      <c r="B233" s="34"/>
    </row>
    <row r="234" spans="1:2" ht="16.5" customHeight="1" x14ac:dyDescent="0.35">
      <c r="A234" s="41"/>
      <c r="B234" s="34"/>
    </row>
    <row r="235" spans="1:2" ht="16.5" customHeight="1" x14ac:dyDescent="0.35">
      <c r="A235" s="41"/>
      <c r="B235" s="34"/>
    </row>
    <row r="236" spans="1:2" ht="16.5" customHeight="1" x14ac:dyDescent="0.35">
      <c r="A236" s="41"/>
      <c r="B236" s="34"/>
    </row>
    <row r="237" spans="1:2" ht="16.5" customHeight="1" x14ac:dyDescent="0.35">
      <c r="A237" s="41"/>
      <c r="B237" s="34"/>
    </row>
    <row r="238" spans="1:2" ht="16.5" customHeight="1" x14ac:dyDescent="0.35">
      <c r="A238" s="41"/>
      <c r="B238" s="34"/>
    </row>
    <row r="239" spans="1:2" ht="16.5" customHeight="1" x14ac:dyDescent="0.35">
      <c r="A239" s="41"/>
      <c r="B239" s="34"/>
    </row>
    <row r="240" spans="1:2" ht="16.5" customHeight="1" x14ac:dyDescent="0.35">
      <c r="A240" s="41"/>
      <c r="B240" s="34"/>
    </row>
    <row r="241" spans="1:2" ht="16.5" customHeight="1" x14ac:dyDescent="0.35">
      <c r="A241" s="41"/>
      <c r="B241" s="34"/>
    </row>
    <row r="242" spans="1:2" ht="16.5" customHeight="1" x14ac:dyDescent="0.35">
      <c r="A242" s="41"/>
      <c r="B242" s="34"/>
    </row>
    <row r="243" spans="1:2" ht="16.5" customHeight="1" x14ac:dyDescent="0.35">
      <c r="A243" s="41"/>
      <c r="B243" s="34"/>
    </row>
    <row r="244" spans="1:2" ht="16.5" customHeight="1" x14ac:dyDescent="0.35">
      <c r="A244" s="41"/>
      <c r="B244" s="34"/>
    </row>
    <row r="245" spans="1:2" ht="16.5" customHeight="1" x14ac:dyDescent="0.35">
      <c r="A245" s="41"/>
      <c r="B245" s="34"/>
    </row>
    <row r="246" spans="1:2" ht="16.5" customHeight="1" x14ac:dyDescent="0.35">
      <c r="A246" s="41"/>
      <c r="B246" s="34"/>
    </row>
    <row r="247" spans="1:2" ht="16.5" customHeight="1" x14ac:dyDescent="0.35">
      <c r="A247" s="41"/>
      <c r="B247" s="34"/>
    </row>
    <row r="248" spans="1:2" ht="16.5" customHeight="1" x14ac:dyDescent="0.35">
      <c r="A248" s="41"/>
      <c r="B248" s="34"/>
    </row>
    <row r="249" spans="1:2" ht="16.5" customHeight="1" x14ac:dyDescent="0.35">
      <c r="A249" s="41"/>
      <c r="B249" s="34"/>
    </row>
    <row r="250" spans="1:2" ht="16.5" customHeight="1" x14ac:dyDescent="0.35">
      <c r="A250" s="41"/>
      <c r="B250" s="34"/>
    </row>
    <row r="251" spans="1:2" ht="16.5" customHeight="1" x14ac:dyDescent="0.35">
      <c r="A251" s="41"/>
      <c r="B251" s="34"/>
    </row>
    <row r="252" spans="1:2" ht="16.5" customHeight="1" x14ac:dyDescent="0.35">
      <c r="A252" s="41"/>
      <c r="B252" s="34"/>
    </row>
    <row r="253" spans="1:2" ht="16.5" customHeight="1" x14ac:dyDescent="0.35">
      <c r="A253" s="41"/>
      <c r="B253" s="34"/>
    </row>
    <row r="254" spans="1:2" ht="16.5" customHeight="1" x14ac:dyDescent="0.35">
      <c r="A254" s="41"/>
      <c r="B254" s="34"/>
    </row>
    <row r="255" spans="1:2" ht="16.5" customHeight="1" x14ac:dyDescent="0.35">
      <c r="A255" s="41"/>
      <c r="B255" s="34"/>
    </row>
    <row r="256" spans="1:2" ht="16.5" customHeight="1" x14ac:dyDescent="0.35">
      <c r="A256" s="41"/>
      <c r="B256" s="34"/>
    </row>
    <row r="257" spans="1:2" ht="16.5" customHeight="1" x14ac:dyDescent="0.35">
      <c r="A257" s="41"/>
      <c r="B257" s="34"/>
    </row>
    <row r="258" spans="1:2" ht="16.5" customHeight="1" x14ac:dyDescent="0.35">
      <c r="A258" s="41"/>
      <c r="B258" s="34"/>
    </row>
    <row r="259" spans="1:2" ht="16.5" customHeight="1" x14ac:dyDescent="0.35">
      <c r="A259" s="41"/>
      <c r="B259" s="34"/>
    </row>
    <row r="260" spans="1:2" ht="16.5" customHeight="1" x14ac:dyDescent="0.35">
      <c r="A260" s="41"/>
      <c r="B260" s="34"/>
    </row>
    <row r="261" spans="1:2" ht="16.5" customHeight="1" x14ac:dyDescent="0.35">
      <c r="A261" s="41"/>
      <c r="B261" s="34"/>
    </row>
    <row r="262" spans="1:2" ht="16.5" customHeight="1" x14ac:dyDescent="0.35">
      <c r="A262" s="41"/>
      <c r="B262" s="34"/>
    </row>
    <row r="263" spans="1:2" ht="16.5" customHeight="1" x14ac:dyDescent="0.35">
      <c r="A263" s="41"/>
      <c r="B263" s="34"/>
    </row>
    <row r="264" spans="1:2" ht="16.5" customHeight="1" x14ac:dyDescent="0.35">
      <c r="A264" s="41"/>
      <c r="B264" s="34"/>
    </row>
    <row r="265" spans="1:2" ht="16.5" customHeight="1" x14ac:dyDescent="0.35">
      <c r="A265" s="41"/>
      <c r="B265" s="34"/>
    </row>
    <row r="266" spans="1:2" ht="16.5" customHeight="1" x14ac:dyDescent="0.35">
      <c r="A266" s="41"/>
      <c r="B266" s="34"/>
    </row>
    <row r="267" spans="1:2" ht="16.5" customHeight="1" x14ac:dyDescent="0.35">
      <c r="A267" s="41"/>
      <c r="B267" s="34"/>
    </row>
    <row r="268" spans="1:2" ht="16.5" customHeight="1" x14ac:dyDescent="0.35">
      <c r="A268" s="41"/>
      <c r="B268" s="34"/>
    </row>
    <row r="269" spans="1:2" ht="16.5" customHeight="1" x14ac:dyDescent="0.35">
      <c r="A269" s="41"/>
      <c r="B269" s="34"/>
    </row>
    <row r="270" spans="1:2" ht="16.5" customHeight="1" x14ac:dyDescent="0.35">
      <c r="A270" s="41"/>
      <c r="B270" s="34"/>
    </row>
    <row r="271" spans="1:2" ht="16.5" customHeight="1" x14ac:dyDescent="0.35">
      <c r="A271" s="41"/>
      <c r="B271" s="34"/>
    </row>
    <row r="272" spans="1:2" ht="16.5" customHeight="1" x14ac:dyDescent="0.35">
      <c r="A272" s="41"/>
      <c r="B272" s="34"/>
    </row>
    <row r="273" spans="1:2" ht="16.5" customHeight="1" x14ac:dyDescent="0.35">
      <c r="A273" s="41"/>
      <c r="B273" s="34"/>
    </row>
    <row r="274" spans="1:2" ht="16.5" customHeight="1" x14ac:dyDescent="0.35">
      <c r="A274" s="41"/>
      <c r="B274" s="34"/>
    </row>
    <row r="275" spans="1:2" ht="16.5" customHeight="1" x14ac:dyDescent="0.35">
      <c r="A275" s="41"/>
      <c r="B275" s="34"/>
    </row>
    <row r="276" spans="1:2" ht="16.5" customHeight="1" x14ac:dyDescent="0.35">
      <c r="A276" s="41"/>
      <c r="B276" s="34"/>
    </row>
    <row r="277" spans="1:2" ht="16.5" customHeight="1" x14ac:dyDescent="0.35">
      <c r="A277" s="41"/>
      <c r="B277" s="34"/>
    </row>
    <row r="278" spans="1:2" ht="16.5" customHeight="1" x14ac:dyDescent="0.35">
      <c r="A278" s="41"/>
      <c r="B278" s="34"/>
    </row>
    <row r="279" spans="1:2" ht="16.5" customHeight="1" x14ac:dyDescent="0.35">
      <c r="A279" s="41"/>
      <c r="B279" s="34"/>
    </row>
    <row r="280" spans="1:2" ht="16.5" customHeight="1" x14ac:dyDescent="0.35">
      <c r="A280" s="41"/>
      <c r="B280" s="34"/>
    </row>
    <row r="281" spans="1:2" ht="16.5" customHeight="1" x14ac:dyDescent="0.35">
      <c r="A281" s="41"/>
      <c r="B281" s="34"/>
    </row>
    <row r="282" spans="1:2" ht="16.5" customHeight="1" x14ac:dyDescent="0.35">
      <c r="A282" s="41"/>
      <c r="B282" s="34"/>
    </row>
    <row r="283" spans="1:2" ht="16.5" customHeight="1" x14ac:dyDescent="0.35">
      <c r="A283" s="41"/>
      <c r="B283" s="34"/>
    </row>
    <row r="284" spans="1:2" ht="16.5" customHeight="1" x14ac:dyDescent="0.35">
      <c r="A284" s="41"/>
      <c r="B284" s="34"/>
    </row>
    <row r="285" spans="1:2" ht="16.5" customHeight="1" x14ac:dyDescent="0.35">
      <c r="A285" s="41"/>
      <c r="B285" s="34"/>
    </row>
    <row r="286" spans="1:2" ht="16.5" customHeight="1" x14ac:dyDescent="0.35">
      <c r="A286" s="41"/>
      <c r="B286" s="34"/>
    </row>
    <row r="287" spans="1:2" ht="15.75" customHeight="1" x14ac:dyDescent="0.35"/>
    <row r="288" spans="1:2"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autoFilter ref="A1:B86" xr:uid="{00000000-0009-0000-0000-000005000000}"/>
  <customSheetViews>
    <customSheetView guid="{77D097FC-158D-4673-ABF3-52B9469886B2}" filter="1" showAutoFilter="1">
      <pageMargins left="0.7" right="0.7" top="0.75" bottom="0.75" header="0.3" footer="0.3"/>
      <autoFilter ref="A1:B88" xr:uid="{81A7169F-1D36-4241-87B0-FFFF9679F1AF}"/>
    </customSheetView>
    <customSheetView guid="{D6288B94-ADAB-45D6-891B-07CA7DFD6D18}" filter="1" showAutoFilter="1">
      <pageMargins left="0.7" right="0.7" top="0.75" bottom="0.75" header="0.3" footer="0.3"/>
      <autoFilter ref="A1:B88" xr:uid="{50526448-BFC8-40C9-9C09-B0E841FEEB0E}"/>
    </customSheetView>
  </customSheetViews>
  <printOptions horizontalCentered="1"/>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000"/>
  <sheetViews>
    <sheetView workbookViewId="0"/>
  </sheetViews>
  <sheetFormatPr defaultColWidth="14.453125" defaultRowHeight="15" customHeight="1" x14ac:dyDescent="0.35"/>
  <cols>
    <col min="1" max="6" width="9.08984375" customWidth="1"/>
  </cols>
  <sheetData>
    <row r="1" ht="16.5" customHeight="1" x14ac:dyDescent="0.35"/>
    <row r="2" ht="16.5" customHeight="1" x14ac:dyDescent="0.35"/>
    <row r="3" ht="16.5" customHeight="1" x14ac:dyDescent="0.35"/>
    <row r="4" ht="16.5" customHeight="1" x14ac:dyDescent="0.35"/>
    <row r="5" ht="16.5" customHeight="1" x14ac:dyDescent="0.35"/>
    <row r="6" ht="16.5" customHeight="1" x14ac:dyDescent="0.35"/>
    <row r="7" ht="16.5" customHeight="1" x14ac:dyDescent="0.35"/>
    <row r="8" ht="16.5" customHeight="1" x14ac:dyDescent="0.35"/>
    <row r="9" ht="16.5" customHeight="1" x14ac:dyDescent="0.35"/>
    <row r="10" ht="16.5" customHeight="1" x14ac:dyDescent="0.35"/>
    <row r="11" ht="16.5" customHeight="1" x14ac:dyDescent="0.35"/>
    <row r="12" ht="16.5" customHeight="1" x14ac:dyDescent="0.35"/>
    <row r="13" ht="16.5" customHeight="1" x14ac:dyDescent="0.35"/>
    <row r="14" ht="16.5" customHeight="1" x14ac:dyDescent="0.35"/>
    <row r="15" ht="16.5" customHeight="1" x14ac:dyDescent="0.35"/>
    <row r="16" ht="16.5" customHeight="1" x14ac:dyDescent="0.35"/>
    <row r="17" ht="16.5" customHeight="1" x14ac:dyDescent="0.35"/>
    <row r="18" ht="16.5" customHeight="1" x14ac:dyDescent="0.35"/>
    <row r="19" ht="16.5" customHeight="1" x14ac:dyDescent="0.35"/>
    <row r="20" ht="16.5" customHeight="1" x14ac:dyDescent="0.35"/>
    <row r="21" ht="16.5" customHeight="1" x14ac:dyDescent="0.35"/>
    <row r="22" ht="16.5" customHeight="1" x14ac:dyDescent="0.35"/>
    <row r="23" ht="16.5" customHeight="1" x14ac:dyDescent="0.35"/>
    <row r="24" ht="16.5" customHeight="1" x14ac:dyDescent="0.35"/>
    <row r="25" ht="16.5" customHeight="1" x14ac:dyDescent="0.35"/>
    <row r="26" ht="16.5" customHeight="1" x14ac:dyDescent="0.35"/>
    <row r="27" ht="16.5" customHeight="1" x14ac:dyDescent="0.35"/>
    <row r="28" ht="16.5" customHeight="1" x14ac:dyDescent="0.35"/>
    <row r="29" ht="16.5" customHeight="1" x14ac:dyDescent="0.35"/>
    <row r="30" ht="16.5" customHeight="1" x14ac:dyDescent="0.35"/>
    <row r="31" ht="16.5" customHeight="1" x14ac:dyDescent="0.35"/>
    <row r="32" ht="16.5" customHeight="1" x14ac:dyDescent="0.35"/>
    <row r="33" ht="16.5" customHeight="1" x14ac:dyDescent="0.35"/>
    <row r="34" ht="16.5" customHeight="1" x14ac:dyDescent="0.35"/>
    <row r="35" ht="16.5" customHeight="1" x14ac:dyDescent="0.35"/>
    <row r="36" ht="16.5" customHeight="1" x14ac:dyDescent="0.35"/>
    <row r="37" ht="16.5" customHeight="1" x14ac:dyDescent="0.35"/>
    <row r="38" ht="16.5" customHeight="1" x14ac:dyDescent="0.35"/>
    <row r="39" ht="16.5" customHeight="1" x14ac:dyDescent="0.35"/>
    <row r="40" ht="16.5" customHeight="1" x14ac:dyDescent="0.35"/>
    <row r="41" ht="16.5" customHeight="1" x14ac:dyDescent="0.35"/>
    <row r="42" ht="16.5" customHeight="1" x14ac:dyDescent="0.35"/>
    <row r="43" ht="16.5" customHeight="1" x14ac:dyDescent="0.35"/>
    <row r="44" ht="16.5" customHeight="1" x14ac:dyDescent="0.35"/>
    <row r="45" ht="16.5" customHeight="1" x14ac:dyDescent="0.35"/>
    <row r="46" ht="16.5" customHeight="1" x14ac:dyDescent="0.35"/>
    <row r="47" ht="16.5" customHeight="1" x14ac:dyDescent="0.35"/>
    <row r="48" ht="16.5" customHeight="1" x14ac:dyDescent="0.35"/>
    <row r="49" ht="16.5" customHeight="1" x14ac:dyDescent="0.35"/>
    <row r="50" ht="16.5" customHeight="1" x14ac:dyDescent="0.35"/>
    <row r="51" ht="16.5" customHeight="1" x14ac:dyDescent="0.35"/>
    <row r="52" ht="16.5" customHeight="1" x14ac:dyDescent="0.35"/>
    <row r="53" ht="16.5" customHeight="1" x14ac:dyDescent="0.35"/>
    <row r="54" ht="16.5" customHeight="1" x14ac:dyDescent="0.35"/>
    <row r="55" ht="16.5" customHeight="1" x14ac:dyDescent="0.35"/>
    <row r="56" ht="16.5" customHeight="1" x14ac:dyDescent="0.35"/>
    <row r="57" ht="16.5" customHeight="1" x14ac:dyDescent="0.35"/>
    <row r="58" ht="16.5" customHeight="1" x14ac:dyDescent="0.35"/>
    <row r="59" ht="16.5" customHeight="1" x14ac:dyDescent="0.35"/>
    <row r="60" ht="16.5" customHeight="1" x14ac:dyDescent="0.35"/>
    <row r="61" ht="16.5" customHeight="1" x14ac:dyDescent="0.35"/>
    <row r="62" ht="16.5" customHeight="1" x14ac:dyDescent="0.35"/>
    <row r="63" ht="16.5" customHeight="1" x14ac:dyDescent="0.35"/>
    <row r="64" ht="16.5" customHeight="1" x14ac:dyDescent="0.35"/>
    <row r="65" ht="16.5" customHeight="1" x14ac:dyDescent="0.35"/>
    <row r="66" ht="16.5" customHeight="1" x14ac:dyDescent="0.35"/>
    <row r="67" ht="16.5" customHeight="1" x14ac:dyDescent="0.35"/>
    <row r="68" ht="16.5" customHeight="1" x14ac:dyDescent="0.35"/>
    <row r="69" ht="16.5" customHeight="1" x14ac:dyDescent="0.35"/>
    <row r="70" ht="16.5" customHeight="1" x14ac:dyDescent="0.35"/>
    <row r="71" ht="16.5" customHeight="1" x14ac:dyDescent="0.35"/>
    <row r="72" ht="16.5" customHeight="1" x14ac:dyDescent="0.35"/>
    <row r="73" ht="16.5" customHeight="1" x14ac:dyDescent="0.35"/>
    <row r="74" ht="16.5" customHeight="1" x14ac:dyDescent="0.35"/>
    <row r="75" ht="16.5" customHeight="1" x14ac:dyDescent="0.35"/>
    <row r="76" ht="16.5" customHeight="1" x14ac:dyDescent="0.35"/>
    <row r="77" ht="16.5" customHeight="1" x14ac:dyDescent="0.35"/>
    <row r="78" ht="16.5" customHeight="1" x14ac:dyDescent="0.35"/>
    <row r="79" ht="16.5" customHeight="1" x14ac:dyDescent="0.35"/>
    <row r="80" ht="16.5" customHeight="1" x14ac:dyDescent="0.35"/>
    <row r="81" ht="16.5" customHeight="1" x14ac:dyDescent="0.35"/>
    <row r="82" ht="16.5" customHeight="1" x14ac:dyDescent="0.35"/>
    <row r="83" ht="16.5" customHeight="1" x14ac:dyDescent="0.35"/>
    <row r="84" ht="16.5" customHeight="1" x14ac:dyDescent="0.35"/>
    <row r="85" ht="16.5" customHeight="1" x14ac:dyDescent="0.35"/>
    <row r="86" ht="16.5" customHeight="1" x14ac:dyDescent="0.35"/>
    <row r="87" ht="16.5" customHeight="1" x14ac:dyDescent="0.35"/>
    <row r="88" ht="16.5" customHeight="1" x14ac:dyDescent="0.35"/>
    <row r="89" ht="16.5" customHeight="1" x14ac:dyDescent="0.35"/>
    <row r="90" ht="16.5" customHeight="1" x14ac:dyDescent="0.35"/>
    <row r="91" ht="16.5" customHeight="1" x14ac:dyDescent="0.35"/>
    <row r="92" ht="16.5" customHeight="1" x14ac:dyDescent="0.35"/>
    <row r="93" ht="16.5" customHeight="1" x14ac:dyDescent="0.35"/>
    <row r="94" ht="16.5" customHeight="1" x14ac:dyDescent="0.35"/>
    <row r="95" ht="16.5" customHeight="1" x14ac:dyDescent="0.35"/>
    <row r="96" ht="16.5" customHeight="1" x14ac:dyDescent="0.35"/>
    <row r="97" ht="16.5" customHeight="1" x14ac:dyDescent="0.35"/>
    <row r="98" ht="16.5" customHeight="1" x14ac:dyDescent="0.35"/>
    <row r="99" ht="16.5" customHeight="1" x14ac:dyDescent="0.35"/>
    <row r="100" ht="16.5" customHeight="1" x14ac:dyDescent="0.35"/>
    <row r="101" ht="16.5" customHeight="1" x14ac:dyDescent="0.35"/>
    <row r="102" ht="16.5" customHeight="1" x14ac:dyDescent="0.35"/>
    <row r="103" ht="16.5" customHeight="1" x14ac:dyDescent="0.35"/>
    <row r="104" ht="16.5" customHeight="1" x14ac:dyDescent="0.35"/>
    <row r="105" ht="16.5" customHeight="1" x14ac:dyDescent="0.35"/>
    <row r="106" ht="16.5" customHeight="1" x14ac:dyDescent="0.35"/>
    <row r="107" ht="16.5" customHeight="1" x14ac:dyDescent="0.35"/>
    <row r="108" ht="16.5" customHeight="1" x14ac:dyDescent="0.35"/>
    <row r="109" ht="16.5" customHeight="1" x14ac:dyDescent="0.35"/>
    <row r="110" ht="16.5" customHeight="1" x14ac:dyDescent="0.35"/>
    <row r="111" ht="16.5" customHeight="1" x14ac:dyDescent="0.35"/>
    <row r="112" ht="16.5" customHeight="1" x14ac:dyDescent="0.35"/>
    <row r="113" ht="16.5" customHeight="1" x14ac:dyDescent="0.35"/>
    <row r="114" ht="16.5" customHeight="1" x14ac:dyDescent="0.35"/>
    <row r="115" ht="16.5" customHeight="1" x14ac:dyDescent="0.35"/>
    <row r="116" ht="16.5" customHeight="1" x14ac:dyDescent="0.35"/>
    <row r="117" ht="16.5" customHeight="1" x14ac:dyDescent="0.35"/>
    <row r="118" ht="16.5" customHeight="1" x14ac:dyDescent="0.35"/>
    <row r="119" ht="16.5" customHeight="1" x14ac:dyDescent="0.35"/>
    <row r="120" ht="16.5" customHeight="1" x14ac:dyDescent="0.35"/>
    <row r="121" ht="16.5" customHeight="1" x14ac:dyDescent="0.35"/>
    <row r="122" ht="16.5" customHeight="1" x14ac:dyDescent="0.35"/>
    <row r="123" ht="16.5" customHeight="1" x14ac:dyDescent="0.35"/>
    <row r="124" ht="16.5" customHeight="1" x14ac:dyDescent="0.35"/>
    <row r="125" ht="16.5" customHeight="1" x14ac:dyDescent="0.35"/>
    <row r="126" ht="16.5" customHeight="1" x14ac:dyDescent="0.35"/>
    <row r="127" ht="16.5" customHeight="1" x14ac:dyDescent="0.35"/>
    <row r="128" ht="16.5" customHeight="1" x14ac:dyDescent="0.35"/>
    <row r="129" ht="16.5" customHeight="1" x14ac:dyDescent="0.35"/>
    <row r="130" ht="16.5" customHeight="1" x14ac:dyDescent="0.35"/>
    <row r="131" ht="16.5" customHeight="1" x14ac:dyDescent="0.35"/>
    <row r="132" ht="16.5" customHeight="1" x14ac:dyDescent="0.35"/>
    <row r="133" ht="16.5" customHeight="1" x14ac:dyDescent="0.35"/>
    <row r="134" ht="16.5" customHeight="1" x14ac:dyDescent="0.35"/>
    <row r="135" ht="16.5" customHeight="1" x14ac:dyDescent="0.35"/>
    <row r="136" ht="16.5" customHeight="1" x14ac:dyDescent="0.35"/>
    <row r="137" ht="16.5" customHeight="1" x14ac:dyDescent="0.35"/>
    <row r="138" ht="16.5" customHeight="1" x14ac:dyDescent="0.35"/>
    <row r="139" ht="16.5" customHeight="1" x14ac:dyDescent="0.35"/>
    <row r="140" ht="16.5" customHeight="1" x14ac:dyDescent="0.35"/>
    <row r="141" ht="16.5" customHeight="1" x14ac:dyDescent="0.35"/>
    <row r="142" ht="16.5" customHeight="1" x14ac:dyDescent="0.35"/>
    <row r="143" ht="16.5" customHeight="1" x14ac:dyDescent="0.35"/>
    <row r="144" ht="16.5" customHeight="1" x14ac:dyDescent="0.35"/>
    <row r="145" ht="16.5" customHeight="1" x14ac:dyDescent="0.35"/>
    <row r="146" ht="16.5" customHeight="1" x14ac:dyDescent="0.35"/>
    <row r="147" ht="16.5" customHeight="1" x14ac:dyDescent="0.35"/>
    <row r="148" ht="16.5" customHeight="1" x14ac:dyDescent="0.35"/>
    <row r="149" ht="16.5" customHeight="1" x14ac:dyDescent="0.35"/>
    <row r="150" ht="16.5" customHeight="1" x14ac:dyDescent="0.35"/>
    <row r="151" ht="16.5" customHeight="1" x14ac:dyDescent="0.35"/>
    <row r="152" ht="16.5" customHeight="1" x14ac:dyDescent="0.35"/>
    <row r="153" ht="16.5" customHeight="1" x14ac:dyDescent="0.35"/>
    <row r="154" ht="16.5" customHeight="1" x14ac:dyDescent="0.35"/>
    <row r="155" ht="16.5" customHeight="1" x14ac:dyDescent="0.35"/>
    <row r="156" ht="16.5" customHeight="1" x14ac:dyDescent="0.35"/>
    <row r="157" ht="16.5" customHeight="1" x14ac:dyDescent="0.35"/>
    <row r="158" ht="16.5" customHeight="1" x14ac:dyDescent="0.35"/>
    <row r="159" ht="16.5" customHeight="1" x14ac:dyDescent="0.35"/>
    <row r="160" ht="16.5" customHeight="1" x14ac:dyDescent="0.35"/>
    <row r="161" ht="16.5" customHeight="1" x14ac:dyDescent="0.35"/>
    <row r="162" ht="16.5" customHeight="1" x14ac:dyDescent="0.35"/>
    <row r="163" ht="16.5" customHeight="1" x14ac:dyDescent="0.35"/>
    <row r="164" ht="16.5" customHeight="1" x14ac:dyDescent="0.35"/>
    <row r="165" ht="16.5" customHeight="1" x14ac:dyDescent="0.35"/>
    <row r="166" ht="16.5" customHeight="1" x14ac:dyDescent="0.35"/>
    <row r="167" ht="16.5" customHeight="1" x14ac:dyDescent="0.35"/>
    <row r="168" ht="16.5" customHeight="1" x14ac:dyDescent="0.35"/>
    <row r="169" ht="16.5" customHeight="1" x14ac:dyDescent="0.35"/>
    <row r="170" ht="16.5" customHeight="1" x14ac:dyDescent="0.35"/>
    <row r="171" ht="16.5" customHeight="1" x14ac:dyDescent="0.35"/>
    <row r="172" ht="16.5" customHeight="1" x14ac:dyDescent="0.35"/>
    <row r="173" ht="16.5" customHeight="1" x14ac:dyDescent="0.35"/>
    <row r="174" ht="16.5" customHeight="1" x14ac:dyDescent="0.35"/>
    <row r="175" ht="16.5" customHeight="1" x14ac:dyDescent="0.35"/>
    <row r="176" ht="16.5" customHeight="1" x14ac:dyDescent="0.35"/>
    <row r="177" ht="16.5" customHeight="1" x14ac:dyDescent="0.35"/>
    <row r="178" ht="16.5" customHeight="1" x14ac:dyDescent="0.35"/>
    <row r="179" ht="16.5" customHeight="1" x14ac:dyDescent="0.35"/>
    <row r="180" ht="16.5" customHeight="1" x14ac:dyDescent="0.35"/>
    <row r="181" ht="16.5" customHeight="1" x14ac:dyDescent="0.35"/>
    <row r="182" ht="16.5" customHeight="1" x14ac:dyDescent="0.35"/>
    <row r="183" ht="16.5" customHeight="1" x14ac:dyDescent="0.35"/>
    <row r="184" ht="16.5" customHeight="1" x14ac:dyDescent="0.35"/>
    <row r="185" ht="16.5" customHeight="1" x14ac:dyDescent="0.35"/>
    <row r="186" ht="16.5" customHeight="1" x14ac:dyDescent="0.35"/>
    <row r="187" ht="16.5" customHeight="1" x14ac:dyDescent="0.35"/>
    <row r="188" ht="16.5" customHeight="1" x14ac:dyDescent="0.35"/>
    <row r="189" ht="16.5" customHeight="1" x14ac:dyDescent="0.35"/>
    <row r="190" ht="16.5" customHeight="1" x14ac:dyDescent="0.35"/>
    <row r="191" ht="16.5" customHeight="1" x14ac:dyDescent="0.35"/>
    <row r="192" ht="16.5" customHeight="1" x14ac:dyDescent="0.35"/>
    <row r="193" ht="16.5" customHeight="1" x14ac:dyDescent="0.35"/>
    <row r="194" ht="16.5" customHeight="1" x14ac:dyDescent="0.35"/>
    <row r="195" ht="16.5" customHeight="1" x14ac:dyDescent="0.35"/>
    <row r="196" ht="16.5" customHeight="1" x14ac:dyDescent="0.35"/>
    <row r="197" ht="16.5" customHeight="1" x14ac:dyDescent="0.35"/>
    <row r="198" ht="16.5" customHeight="1" x14ac:dyDescent="0.35"/>
    <row r="199" ht="16.5" customHeight="1" x14ac:dyDescent="0.35"/>
    <row r="200" ht="16.5" customHeight="1" x14ac:dyDescent="0.35"/>
    <row r="201" ht="16.5" customHeight="1" x14ac:dyDescent="0.35"/>
    <row r="202" ht="16.5" customHeight="1" x14ac:dyDescent="0.35"/>
    <row r="203" ht="16.5" customHeight="1" x14ac:dyDescent="0.35"/>
    <row r="204" ht="16.5" customHeight="1" x14ac:dyDescent="0.35"/>
    <row r="205" ht="16.5" customHeight="1" x14ac:dyDescent="0.35"/>
    <row r="206" ht="16.5" customHeight="1" x14ac:dyDescent="0.35"/>
    <row r="207" ht="16.5" customHeight="1" x14ac:dyDescent="0.35"/>
    <row r="208" ht="16.5" customHeight="1" x14ac:dyDescent="0.35"/>
    <row r="209" ht="16.5" customHeight="1" x14ac:dyDescent="0.35"/>
    <row r="210" ht="16.5" customHeight="1" x14ac:dyDescent="0.35"/>
    <row r="211" ht="16.5" customHeight="1" x14ac:dyDescent="0.35"/>
    <row r="212" ht="16.5" customHeight="1" x14ac:dyDescent="0.35"/>
    <row r="213" ht="16.5" customHeight="1" x14ac:dyDescent="0.35"/>
    <row r="214" ht="16.5" customHeight="1" x14ac:dyDescent="0.35"/>
    <row r="215" ht="16.5" customHeight="1" x14ac:dyDescent="0.35"/>
    <row r="216" ht="16.5" customHeight="1" x14ac:dyDescent="0.35"/>
    <row r="217" ht="16.5" customHeight="1" x14ac:dyDescent="0.35"/>
    <row r="218" ht="16.5" customHeight="1" x14ac:dyDescent="0.35"/>
    <row r="219" ht="16.5" customHeight="1" x14ac:dyDescent="0.35"/>
    <row r="220" ht="16.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000"/>
  <sheetViews>
    <sheetView workbookViewId="0"/>
  </sheetViews>
  <sheetFormatPr defaultColWidth="14.453125" defaultRowHeight="15" customHeight="1" x14ac:dyDescent="0.35"/>
  <cols>
    <col min="1" max="1" width="23.453125" customWidth="1"/>
    <col min="2" max="6" width="22.26953125" customWidth="1"/>
    <col min="7" max="10" width="31.54296875" customWidth="1"/>
    <col min="11" max="11" width="20.81640625" customWidth="1"/>
    <col min="12" max="12" width="24.81640625" customWidth="1"/>
    <col min="13" max="16" width="23.453125" customWidth="1"/>
    <col min="17" max="17" width="9.08984375" customWidth="1"/>
    <col min="18" max="21" width="23.453125" customWidth="1"/>
    <col min="22" max="22" width="18.08984375" hidden="1" customWidth="1"/>
    <col min="23" max="23" width="9.08984375" hidden="1" customWidth="1"/>
  </cols>
  <sheetData>
    <row r="1" spans="1:23" ht="16.5" customHeight="1" x14ac:dyDescent="0.35">
      <c r="A1" s="179" t="s">
        <v>488</v>
      </c>
      <c r="B1" s="179"/>
      <c r="C1" s="179"/>
      <c r="D1" s="179"/>
      <c r="E1" s="179"/>
      <c r="F1" s="179"/>
      <c r="G1" s="179"/>
      <c r="H1" s="179"/>
      <c r="I1" s="179"/>
      <c r="J1" s="179"/>
      <c r="K1" s="179"/>
      <c r="S1" s="179"/>
      <c r="T1" s="179"/>
      <c r="U1" s="179"/>
      <c r="V1" s="179" t="s">
        <v>32</v>
      </c>
    </row>
    <row r="2" spans="1:23" ht="16.5" customHeight="1" x14ac:dyDescent="0.35">
      <c r="A2" s="180" t="s">
        <v>489</v>
      </c>
      <c r="B2" s="180" t="s">
        <v>76</v>
      </c>
      <c r="C2" s="180" t="s">
        <v>404</v>
      </c>
      <c r="D2" s="180" t="s">
        <v>36</v>
      </c>
      <c r="E2" s="180" t="s">
        <v>490</v>
      </c>
      <c r="F2" s="180" t="s">
        <v>491</v>
      </c>
      <c r="G2" s="180" t="s">
        <v>492</v>
      </c>
      <c r="H2" s="180" t="s">
        <v>493</v>
      </c>
      <c r="I2" s="180" t="s">
        <v>49</v>
      </c>
      <c r="J2" s="181" t="s">
        <v>494</v>
      </c>
      <c r="K2" s="181"/>
      <c r="V2" s="129" t="s">
        <v>495</v>
      </c>
      <c r="W2" s="129" t="s">
        <v>496</v>
      </c>
    </row>
    <row r="3" spans="1:23" ht="16.5" customHeight="1" x14ac:dyDescent="0.35">
      <c r="A3" s="181" t="s">
        <v>497</v>
      </c>
      <c r="B3" s="181" t="s">
        <v>498</v>
      </c>
      <c r="C3" s="181" t="s">
        <v>499</v>
      </c>
      <c r="D3" s="181" t="s">
        <v>500</v>
      </c>
      <c r="E3" s="181" t="s">
        <v>499</v>
      </c>
      <c r="F3" s="181" t="s">
        <v>499</v>
      </c>
      <c r="G3" s="181" t="s">
        <v>499</v>
      </c>
      <c r="H3" s="181" t="s">
        <v>501</v>
      </c>
      <c r="I3" s="181" t="s">
        <v>502</v>
      </c>
      <c r="J3" s="181" t="s">
        <v>503</v>
      </c>
      <c r="K3" s="181"/>
      <c r="V3" s="129" t="s">
        <v>504</v>
      </c>
      <c r="W3" s="129" t="s">
        <v>505</v>
      </c>
    </row>
    <row r="4" spans="1:23" ht="16.5" customHeight="1" x14ac:dyDescent="0.35">
      <c r="A4" s="181" t="s">
        <v>506</v>
      </c>
      <c r="B4" s="181" t="s">
        <v>507</v>
      </c>
      <c r="C4" s="181" t="s">
        <v>508</v>
      </c>
      <c r="D4" s="181" t="s">
        <v>509</v>
      </c>
      <c r="E4" s="181" t="s">
        <v>510</v>
      </c>
      <c r="F4" s="181" t="s">
        <v>510</v>
      </c>
      <c r="G4" s="181" t="s">
        <v>510</v>
      </c>
      <c r="H4" s="181" t="s">
        <v>511</v>
      </c>
      <c r="I4" s="181" t="s">
        <v>499</v>
      </c>
      <c r="J4" s="181" t="s">
        <v>500</v>
      </c>
      <c r="K4" s="181"/>
      <c r="V4" s="129" t="s">
        <v>512</v>
      </c>
      <c r="W4" s="129" t="s">
        <v>513</v>
      </c>
    </row>
    <row r="5" spans="1:23" ht="16.5" customHeight="1" x14ac:dyDescent="0.35">
      <c r="A5" s="181" t="s">
        <v>514</v>
      </c>
      <c r="B5" s="181" t="s">
        <v>515</v>
      </c>
      <c r="C5" s="182" t="s">
        <v>510</v>
      </c>
      <c r="D5" s="181" t="s">
        <v>516</v>
      </c>
      <c r="E5" s="181" t="s">
        <v>36</v>
      </c>
      <c r="F5" s="182" t="s">
        <v>36</v>
      </c>
      <c r="G5" s="182" t="s">
        <v>36</v>
      </c>
      <c r="H5" s="181" t="s">
        <v>517</v>
      </c>
      <c r="I5" s="181" t="s">
        <v>518</v>
      </c>
      <c r="J5" s="181" t="s">
        <v>519</v>
      </c>
      <c r="K5" s="181"/>
      <c r="V5" s="129" t="s">
        <v>520</v>
      </c>
      <c r="W5" s="129" t="s">
        <v>521</v>
      </c>
    </row>
    <row r="6" spans="1:23" ht="16.5" customHeight="1" x14ac:dyDescent="0.35">
      <c r="A6" s="181" t="s">
        <v>522</v>
      </c>
      <c r="B6" s="181" t="s">
        <v>523</v>
      </c>
      <c r="C6" s="180"/>
      <c r="D6" s="181" t="s">
        <v>524</v>
      </c>
      <c r="E6" s="181" t="s">
        <v>525</v>
      </c>
      <c r="F6" s="180"/>
      <c r="H6" s="181" t="s">
        <v>526</v>
      </c>
      <c r="I6" s="181" t="s">
        <v>516</v>
      </c>
      <c r="J6" s="181" t="s">
        <v>527</v>
      </c>
      <c r="K6" s="181"/>
      <c r="V6" s="129" t="s">
        <v>528</v>
      </c>
      <c r="W6" s="129" t="s">
        <v>529</v>
      </c>
    </row>
    <row r="7" spans="1:23" ht="16.5" customHeight="1" x14ac:dyDescent="0.35">
      <c r="A7" s="182" t="s">
        <v>481</v>
      </c>
      <c r="B7" s="182" t="s">
        <v>530</v>
      </c>
      <c r="C7" s="180"/>
      <c r="D7" s="181" t="s">
        <v>531</v>
      </c>
      <c r="E7" s="182"/>
      <c r="F7" s="180"/>
      <c r="H7" s="181" t="s">
        <v>532</v>
      </c>
      <c r="I7" s="181" t="s">
        <v>533</v>
      </c>
      <c r="J7" s="181" t="s">
        <v>509</v>
      </c>
      <c r="K7" s="181"/>
      <c r="V7" s="129" t="s">
        <v>534</v>
      </c>
      <c r="W7" s="129" t="s">
        <v>535</v>
      </c>
    </row>
    <row r="8" spans="1:23" ht="16.5" customHeight="1" x14ac:dyDescent="0.35">
      <c r="B8" s="180"/>
      <c r="C8" s="180"/>
      <c r="D8" s="181" t="s">
        <v>536</v>
      </c>
      <c r="E8" s="180"/>
      <c r="F8" s="180"/>
      <c r="H8" s="181" t="s">
        <v>537</v>
      </c>
      <c r="I8" s="181" t="s">
        <v>538</v>
      </c>
      <c r="J8" s="181" t="s">
        <v>539</v>
      </c>
      <c r="K8" s="181"/>
    </row>
    <row r="9" spans="1:23" ht="16.5" customHeight="1" x14ac:dyDescent="0.35">
      <c r="B9" s="180"/>
      <c r="C9" s="180"/>
      <c r="D9" s="181" t="s">
        <v>540</v>
      </c>
      <c r="E9" s="180"/>
      <c r="F9" s="180"/>
      <c r="H9" s="181" t="s">
        <v>541</v>
      </c>
      <c r="I9" s="182" t="s">
        <v>542</v>
      </c>
      <c r="J9" s="182" t="s">
        <v>543</v>
      </c>
      <c r="K9" s="181"/>
    </row>
    <row r="10" spans="1:23" ht="16.5" customHeight="1" x14ac:dyDescent="0.35">
      <c r="B10" s="180"/>
      <c r="C10" s="180"/>
      <c r="D10" s="181" t="s">
        <v>544</v>
      </c>
      <c r="E10" s="180"/>
      <c r="F10" s="180"/>
      <c r="H10" s="182" t="s">
        <v>545</v>
      </c>
      <c r="I10" s="181"/>
      <c r="J10" s="181"/>
      <c r="K10" s="181"/>
    </row>
    <row r="11" spans="1:23" ht="16.5" customHeight="1" x14ac:dyDescent="0.35">
      <c r="A11" s="180"/>
      <c r="B11" s="180"/>
      <c r="C11" s="180"/>
      <c r="D11" s="181" t="s">
        <v>546</v>
      </c>
      <c r="E11" s="180"/>
      <c r="F11" s="180"/>
      <c r="H11" s="181"/>
      <c r="I11" s="181"/>
      <c r="J11" s="181"/>
      <c r="K11" s="181"/>
      <c r="L11" s="181"/>
      <c r="M11" s="181"/>
      <c r="N11" s="181"/>
      <c r="O11" s="181"/>
      <c r="P11" s="181"/>
      <c r="Q11" s="181"/>
      <c r="R11" s="181"/>
    </row>
    <row r="12" spans="1:23" ht="16.5" customHeight="1" x14ac:dyDescent="0.35">
      <c r="A12" s="180"/>
      <c r="B12" s="180"/>
      <c r="C12" s="180"/>
      <c r="D12" s="181" t="s">
        <v>519</v>
      </c>
      <c r="E12" s="180"/>
      <c r="F12" s="180"/>
      <c r="H12" s="181"/>
      <c r="I12" s="181"/>
      <c r="J12" s="181"/>
      <c r="K12" s="181"/>
      <c r="L12" s="181"/>
      <c r="M12" s="181"/>
      <c r="N12" s="181"/>
      <c r="O12" s="181"/>
      <c r="P12" s="181"/>
      <c r="Q12" s="181"/>
      <c r="R12" s="181"/>
    </row>
    <row r="13" spans="1:23" ht="16.5" customHeight="1" x14ac:dyDescent="0.35">
      <c r="A13" s="181"/>
      <c r="B13" s="181"/>
      <c r="C13" s="181"/>
      <c r="D13" s="181" t="s">
        <v>547</v>
      </c>
      <c r="E13" s="181"/>
      <c r="F13" s="181"/>
      <c r="H13" s="181"/>
      <c r="I13" s="181"/>
      <c r="J13" s="181"/>
    </row>
    <row r="14" spans="1:23" ht="16.5" customHeight="1" x14ac:dyDescent="0.35">
      <c r="A14" s="181"/>
      <c r="B14" s="181"/>
      <c r="C14" s="181"/>
      <c r="D14" s="182" t="s">
        <v>527</v>
      </c>
      <c r="E14" s="181"/>
      <c r="F14" s="181"/>
      <c r="H14" s="181"/>
      <c r="I14" s="181"/>
      <c r="J14" s="181"/>
    </row>
    <row r="15" spans="1:23" ht="16.5" customHeight="1" x14ac:dyDescent="0.35">
      <c r="A15" s="181"/>
      <c r="B15" s="181"/>
      <c r="C15" s="181"/>
      <c r="D15" s="181"/>
      <c r="E15" s="181"/>
      <c r="F15" s="181"/>
      <c r="H15" s="181"/>
      <c r="I15" s="181"/>
      <c r="J15" s="181"/>
    </row>
    <row r="16" spans="1:23" ht="16.5" customHeight="1" x14ac:dyDescent="0.35">
      <c r="A16" s="183" t="s">
        <v>548</v>
      </c>
      <c r="B16" s="183" t="s">
        <v>549</v>
      </c>
      <c r="C16" s="183" t="s">
        <v>550</v>
      </c>
      <c r="D16" s="183"/>
      <c r="E16" s="183" t="s">
        <v>551</v>
      </c>
      <c r="F16" s="183"/>
      <c r="G16" s="183" t="s">
        <v>552</v>
      </c>
      <c r="H16" s="183" t="s">
        <v>553</v>
      </c>
      <c r="I16" s="181"/>
      <c r="J16" s="181"/>
    </row>
    <row r="17" spans="1:15" ht="16.5" customHeight="1" x14ac:dyDescent="0.35">
      <c r="A17" s="179" t="s">
        <v>554</v>
      </c>
      <c r="B17" s="179" t="s">
        <v>554</v>
      </c>
      <c r="C17" s="179" t="s">
        <v>27</v>
      </c>
      <c r="D17" s="179" t="s">
        <v>555</v>
      </c>
      <c r="E17" s="179" t="s">
        <v>556</v>
      </c>
      <c r="F17" s="179" t="s">
        <v>32</v>
      </c>
      <c r="H17" s="181" t="s">
        <v>58</v>
      </c>
      <c r="I17" s="181"/>
      <c r="J17" s="181"/>
    </row>
    <row r="18" spans="1:15" ht="16.5" customHeight="1" x14ac:dyDescent="0.35">
      <c r="A18" s="184" t="s">
        <v>557</v>
      </c>
      <c r="B18" s="52" t="s">
        <v>143</v>
      </c>
      <c r="C18" s="129" t="s">
        <v>232</v>
      </c>
      <c r="D18" s="181" t="s">
        <v>304</v>
      </c>
      <c r="E18" s="185" t="s">
        <v>11</v>
      </c>
      <c r="F18" s="181" t="s">
        <v>558</v>
      </c>
      <c r="G18" s="52" t="s">
        <v>42</v>
      </c>
      <c r="H18" s="181" t="s">
        <v>36</v>
      </c>
      <c r="I18" s="181"/>
      <c r="J18" s="181"/>
    </row>
    <row r="19" spans="1:15" ht="16.5" customHeight="1" x14ac:dyDescent="0.35">
      <c r="A19" s="184" t="s">
        <v>559</v>
      </c>
      <c r="B19" s="129" t="s">
        <v>37</v>
      </c>
      <c r="C19" s="129" t="s">
        <v>229</v>
      </c>
      <c r="D19" s="181" t="s">
        <v>302</v>
      </c>
      <c r="E19" s="182"/>
      <c r="F19" s="181" t="s">
        <v>284</v>
      </c>
      <c r="G19" s="129" t="s">
        <v>53</v>
      </c>
      <c r="H19" s="181" t="s">
        <v>560</v>
      </c>
      <c r="I19" s="181"/>
      <c r="J19" s="181"/>
    </row>
    <row r="20" spans="1:15" ht="16.5" customHeight="1" x14ac:dyDescent="0.35">
      <c r="A20" s="184"/>
      <c r="B20" s="129" t="s">
        <v>561</v>
      </c>
      <c r="C20" s="129" t="s">
        <v>41</v>
      </c>
      <c r="D20" s="182" t="s">
        <v>300</v>
      </c>
      <c r="E20" s="181"/>
      <c r="F20" s="181" t="s">
        <v>288</v>
      </c>
      <c r="G20" s="181"/>
      <c r="H20" s="181" t="s">
        <v>49</v>
      </c>
      <c r="I20" s="181"/>
      <c r="J20" s="181"/>
    </row>
    <row r="21" spans="1:15" ht="16.5" customHeight="1" x14ac:dyDescent="0.35">
      <c r="A21" s="184"/>
      <c r="B21" s="181"/>
      <c r="C21" s="129" t="s">
        <v>224</v>
      </c>
      <c r="D21" s="181"/>
      <c r="E21" s="181"/>
      <c r="F21" s="182" t="s">
        <v>291</v>
      </c>
      <c r="G21" s="181"/>
      <c r="H21" s="181" t="s">
        <v>562</v>
      </c>
      <c r="I21" s="181"/>
      <c r="J21" s="181"/>
    </row>
    <row r="22" spans="1:15" ht="16.5" customHeight="1" x14ac:dyDescent="0.35">
      <c r="A22" s="181"/>
      <c r="B22" s="181"/>
      <c r="C22" s="129" t="s">
        <v>221</v>
      </c>
      <c r="D22" s="181"/>
      <c r="E22" s="181"/>
      <c r="G22" s="181"/>
      <c r="H22" s="181"/>
      <c r="I22" s="181"/>
      <c r="J22" s="181"/>
    </row>
    <row r="23" spans="1:15" ht="16.5" customHeight="1" x14ac:dyDescent="0.35">
      <c r="A23" s="181"/>
      <c r="B23" s="181"/>
      <c r="D23" s="181"/>
      <c r="E23" s="181"/>
      <c r="F23" s="181"/>
      <c r="G23" s="181"/>
      <c r="H23" s="181"/>
      <c r="I23" s="181"/>
      <c r="J23" s="181"/>
    </row>
    <row r="24" spans="1:15" ht="16.5" customHeight="1" x14ac:dyDescent="0.35">
      <c r="A24" s="181"/>
      <c r="B24" s="181"/>
      <c r="C24" s="129" t="s">
        <v>238</v>
      </c>
      <c r="D24" s="181"/>
      <c r="E24" s="181"/>
      <c r="F24" s="181"/>
      <c r="G24" s="181"/>
      <c r="H24" s="181"/>
      <c r="I24" s="181"/>
      <c r="J24" s="181"/>
    </row>
    <row r="25" spans="1:15" ht="16.5" customHeight="1" x14ac:dyDescent="0.35">
      <c r="A25" s="181"/>
      <c r="B25" s="181"/>
      <c r="C25" s="129" t="s">
        <v>236</v>
      </c>
      <c r="D25" s="181"/>
      <c r="E25" s="181"/>
      <c r="F25" s="181"/>
      <c r="G25" s="181"/>
      <c r="H25" s="181"/>
      <c r="I25" s="181"/>
      <c r="J25" s="181"/>
    </row>
    <row r="26" spans="1:15" ht="16.5" customHeight="1" x14ac:dyDescent="0.35">
      <c r="A26" s="181"/>
      <c r="B26" s="181"/>
      <c r="C26" s="181"/>
      <c r="D26" s="181"/>
      <c r="E26" s="181"/>
      <c r="F26" s="181"/>
      <c r="G26" s="181"/>
      <c r="H26" s="181"/>
      <c r="I26" s="181"/>
      <c r="J26" s="181"/>
    </row>
    <row r="27" spans="1:15" ht="16.5" customHeight="1" x14ac:dyDescent="0.35">
      <c r="A27" s="181"/>
      <c r="B27" s="181"/>
      <c r="C27" s="181"/>
      <c r="D27" s="181"/>
      <c r="E27" s="181"/>
      <c r="F27" s="181"/>
      <c r="G27" s="181"/>
      <c r="H27" s="181"/>
      <c r="I27" s="181"/>
      <c r="J27" s="181"/>
    </row>
    <row r="28" spans="1:15" ht="16.5" customHeight="1" x14ac:dyDescent="0.35">
      <c r="A28" s="186" t="s">
        <v>563</v>
      </c>
      <c r="B28" s="225" t="s">
        <v>564</v>
      </c>
      <c r="C28" s="226"/>
      <c r="D28" s="226"/>
      <c r="E28" s="226"/>
      <c r="F28" s="225" t="s">
        <v>565</v>
      </c>
      <c r="G28" s="226"/>
      <c r="H28" s="226"/>
      <c r="I28" s="226"/>
      <c r="J28" s="226"/>
      <c r="K28" s="227"/>
      <c r="L28" s="225" t="s">
        <v>566</v>
      </c>
      <c r="M28" s="226"/>
      <c r="N28" s="227"/>
      <c r="O28" s="187" t="s">
        <v>567</v>
      </c>
    </row>
    <row r="29" spans="1:15" ht="16.5" customHeight="1" x14ac:dyDescent="0.35">
      <c r="A29" s="188" t="s">
        <v>568</v>
      </c>
      <c r="B29" s="189" t="s">
        <v>48</v>
      </c>
      <c r="C29" s="189" t="s">
        <v>36</v>
      </c>
      <c r="D29" s="189" t="s">
        <v>569</v>
      </c>
      <c r="E29" s="189" t="s">
        <v>136</v>
      </c>
      <c r="F29" s="189" t="s">
        <v>570</v>
      </c>
      <c r="G29" s="189" t="s">
        <v>76</v>
      </c>
      <c r="H29" s="189" t="s">
        <v>571</v>
      </c>
      <c r="I29" s="189" t="s">
        <v>102</v>
      </c>
      <c r="J29" s="190" t="s">
        <v>572</v>
      </c>
      <c r="K29" s="190" t="s">
        <v>69</v>
      </c>
      <c r="L29" s="189" t="s">
        <v>110</v>
      </c>
      <c r="M29" s="189" t="s">
        <v>36</v>
      </c>
      <c r="N29" s="189" t="s">
        <v>49</v>
      </c>
      <c r="O29" s="191" t="s">
        <v>35</v>
      </c>
    </row>
    <row r="30" spans="1:15" ht="16.5" customHeight="1" x14ac:dyDescent="0.35">
      <c r="A30" s="192" t="s">
        <v>573</v>
      </c>
      <c r="B30" s="193" t="s">
        <v>574</v>
      </c>
      <c r="C30" s="194" t="s">
        <v>531</v>
      </c>
      <c r="D30" s="194"/>
      <c r="E30" s="193"/>
      <c r="F30" s="193" t="s">
        <v>575</v>
      </c>
      <c r="G30" s="193"/>
      <c r="H30" s="193"/>
      <c r="I30" s="193" t="s">
        <v>576</v>
      </c>
      <c r="J30" s="193"/>
      <c r="K30" s="193"/>
      <c r="L30" s="193"/>
      <c r="M30" s="193" t="s">
        <v>577</v>
      </c>
      <c r="N30" s="193" t="s">
        <v>578</v>
      </c>
      <c r="O30" s="193"/>
    </row>
    <row r="31" spans="1:15" ht="16.5" customHeight="1" x14ac:dyDescent="0.35">
      <c r="A31" s="71"/>
      <c r="B31" s="193" t="s">
        <v>579</v>
      </c>
      <c r="C31" s="194" t="s">
        <v>536</v>
      </c>
      <c r="D31" s="194"/>
      <c r="E31" s="193"/>
      <c r="F31" s="193"/>
      <c r="G31" s="193"/>
      <c r="H31" s="193"/>
      <c r="I31" s="193"/>
      <c r="J31" s="193"/>
      <c r="K31" s="193"/>
      <c r="L31" s="193"/>
      <c r="M31" s="193" t="s">
        <v>580</v>
      </c>
      <c r="N31" s="193" t="s">
        <v>580</v>
      </c>
      <c r="O31" s="193"/>
    </row>
    <row r="32" spans="1:15" ht="16.5" customHeight="1" x14ac:dyDescent="0.35">
      <c r="A32" s="71"/>
      <c r="B32" s="193" t="s">
        <v>581</v>
      </c>
      <c r="C32" s="194" t="s">
        <v>540</v>
      </c>
      <c r="D32" s="194"/>
      <c r="E32" s="193"/>
      <c r="F32" s="193"/>
      <c r="G32" s="193"/>
      <c r="H32" s="193"/>
      <c r="I32" s="193"/>
      <c r="J32" s="193"/>
      <c r="K32" s="193"/>
      <c r="L32" s="193"/>
      <c r="M32" s="195"/>
      <c r="N32" s="193"/>
      <c r="O32" s="193"/>
    </row>
    <row r="33" spans="1:15" ht="16.5" customHeight="1" x14ac:dyDescent="0.35">
      <c r="B33" s="193" t="s">
        <v>582</v>
      </c>
      <c r="C33" s="194" t="s">
        <v>544</v>
      </c>
      <c r="D33" s="194"/>
      <c r="E33" s="193"/>
      <c r="F33" s="196"/>
      <c r="G33" s="194"/>
      <c r="H33" s="194"/>
      <c r="I33" s="194"/>
      <c r="J33" s="194"/>
      <c r="K33" s="194"/>
      <c r="L33" s="194"/>
      <c r="M33" s="197"/>
      <c r="N33" s="193"/>
      <c r="O33" s="194"/>
    </row>
    <row r="34" spans="1:15" ht="16.5" customHeight="1" x14ac:dyDescent="0.35">
      <c r="B34" s="194" t="s">
        <v>583</v>
      </c>
      <c r="C34" s="194"/>
      <c r="D34" s="194"/>
      <c r="E34" s="193"/>
      <c r="F34" s="198"/>
      <c r="G34" s="194"/>
      <c r="H34" s="194"/>
      <c r="I34" s="194"/>
      <c r="J34" s="194"/>
      <c r="K34" s="194"/>
      <c r="L34" s="194"/>
      <c r="M34" s="193"/>
      <c r="N34" s="193"/>
      <c r="O34" s="194"/>
    </row>
    <row r="35" spans="1:15" ht="16.5" customHeight="1" x14ac:dyDescent="0.35">
      <c r="B35" s="193" t="s">
        <v>584</v>
      </c>
      <c r="C35" s="193" t="s">
        <v>546</v>
      </c>
      <c r="D35" s="193"/>
      <c r="E35" s="193"/>
      <c r="F35" s="198"/>
      <c r="G35" s="194"/>
      <c r="H35" s="194"/>
      <c r="I35" s="194"/>
      <c r="J35" s="194"/>
      <c r="K35" s="194"/>
      <c r="L35" s="194"/>
      <c r="M35" s="194"/>
      <c r="N35" s="194"/>
      <c r="O35" s="194"/>
    </row>
    <row r="36" spans="1:15" ht="16.5" customHeight="1" x14ac:dyDescent="0.35">
      <c r="B36" s="194"/>
      <c r="C36" s="194" t="s">
        <v>547</v>
      </c>
      <c r="D36" s="194"/>
      <c r="E36" s="194"/>
      <c r="F36" s="196"/>
      <c r="G36" s="194"/>
      <c r="H36" s="194"/>
      <c r="I36" s="194"/>
      <c r="J36" s="194"/>
      <c r="K36" s="194"/>
      <c r="L36" s="194"/>
      <c r="M36" s="194"/>
      <c r="N36" s="194"/>
      <c r="O36" s="194"/>
    </row>
    <row r="37" spans="1:15" ht="16.5" customHeight="1" x14ac:dyDescent="0.35">
      <c r="B37" s="194"/>
      <c r="C37" s="194" t="s">
        <v>527</v>
      </c>
      <c r="D37" s="194"/>
      <c r="E37" s="194"/>
      <c r="F37" s="196"/>
      <c r="G37" s="194"/>
      <c r="H37" s="194"/>
      <c r="I37" s="194"/>
      <c r="J37" s="194"/>
      <c r="K37" s="194"/>
      <c r="L37" s="194"/>
      <c r="M37" s="194"/>
      <c r="N37" s="194"/>
      <c r="O37" s="194"/>
    </row>
    <row r="38" spans="1:15" ht="16.5" customHeight="1" x14ac:dyDescent="0.35">
      <c r="B38" s="194"/>
      <c r="C38" s="194" t="s">
        <v>519</v>
      </c>
      <c r="D38" s="194"/>
      <c r="E38" s="194"/>
      <c r="F38" s="198"/>
      <c r="G38" s="194"/>
      <c r="H38" s="194"/>
      <c r="I38" s="194"/>
      <c r="J38" s="194"/>
      <c r="K38" s="194"/>
      <c r="L38" s="194"/>
      <c r="M38" s="194"/>
      <c r="N38" s="194"/>
      <c r="O38" s="194"/>
    </row>
    <row r="39" spans="1:15" ht="16.5" customHeight="1" x14ac:dyDescent="0.35">
      <c r="B39" s="194"/>
      <c r="C39" s="199" t="s">
        <v>500</v>
      </c>
      <c r="D39" s="194"/>
      <c r="E39" s="194"/>
      <c r="F39" s="198"/>
      <c r="G39" s="194"/>
      <c r="H39" s="194"/>
      <c r="I39" s="194"/>
      <c r="J39" s="194"/>
      <c r="K39" s="194"/>
      <c r="L39" s="194"/>
      <c r="M39" s="194"/>
      <c r="N39" s="194"/>
      <c r="O39" s="194"/>
    </row>
    <row r="40" spans="1:15" ht="16.5" customHeight="1" x14ac:dyDescent="0.35">
      <c r="B40" s="194"/>
      <c r="C40" s="199" t="s">
        <v>509</v>
      </c>
      <c r="D40" s="194"/>
      <c r="E40" s="194"/>
      <c r="F40" s="198"/>
      <c r="G40" s="194"/>
      <c r="H40" s="194"/>
      <c r="I40" s="194"/>
      <c r="J40" s="194"/>
      <c r="K40" s="194"/>
      <c r="L40" s="194"/>
      <c r="M40" s="194"/>
      <c r="N40" s="194"/>
      <c r="O40" s="194"/>
    </row>
    <row r="41" spans="1:15" ht="16.5" customHeight="1" x14ac:dyDescent="0.35">
      <c r="B41" s="200"/>
      <c r="C41" s="201" t="s">
        <v>516</v>
      </c>
      <c r="D41" s="200"/>
      <c r="E41" s="200"/>
      <c r="F41" s="202"/>
      <c r="G41" s="200"/>
      <c r="H41" s="200"/>
      <c r="I41" s="200"/>
      <c r="J41" s="200"/>
      <c r="K41" s="200"/>
      <c r="L41" s="200"/>
      <c r="M41" s="200"/>
      <c r="N41" s="200"/>
      <c r="O41" s="200"/>
    </row>
    <row r="42" spans="1:15" ht="16.5" customHeight="1" x14ac:dyDescent="0.35">
      <c r="B42" s="52"/>
      <c r="C42" s="52"/>
      <c r="D42" s="52"/>
      <c r="E42" s="52"/>
      <c r="F42" s="155"/>
      <c r="G42" s="52"/>
      <c r="H42" s="52"/>
      <c r="I42" s="52"/>
      <c r="J42" s="52"/>
      <c r="K42" s="52"/>
      <c r="L42" s="52"/>
      <c r="M42" s="52"/>
      <c r="N42" s="52"/>
      <c r="O42" s="52"/>
    </row>
    <row r="43" spans="1:15" ht="16.5" customHeight="1" x14ac:dyDescent="0.35">
      <c r="B43" s="52"/>
      <c r="C43" s="52"/>
      <c r="D43" s="52"/>
      <c r="E43" s="52"/>
      <c r="F43" s="155"/>
      <c r="G43" s="52"/>
      <c r="H43" s="52"/>
      <c r="I43" s="52"/>
      <c r="J43" s="52"/>
      <c r="K43" s="52"/>
      <c r="L43" s="52"/>
      <c r="M43" s="52"/>
      <c r="N43" s="52"/>
      <c r="O43" s="52"/>
    </row>
    <row r="44" spans="1:15" ht="16.5" customHeight="1" x14ac:dyDescent="0.35">
      <c r="A44" s="203"/>
      <c r="B44" s="204"/>
      <c r="C44" s="204"/>
      <c r="D44" s="204"/>
      <c r="E44" s="204"/>
      <c r="F44" s="155"/>
      <c r="G44" s="52"/>
      <c r="H44" s="52"/>
      <c r="I44" s="52"/>
      <c r="J44" s="52"/>
      <c r="K44" s="52"/>
      <c r="L44" s="52"/>
      <c r="M44" s="52"/>
      <c r="N44" s="52"/>
      <c r="O44" s="52"/>
    </row>
    <row r="45" spans="1:15" ht="16.5" customHeight="1" x14ac:dyDescent="0.35">
      <c r="B45" s="52"/>
      <c r="C45" s="52"/>
      <c r="E45" s="52"/>
      <c r="F45" s="155"/>
      <c r="G45" s="52"/>
      <c r="H45" s="52"/>
      <c r="I45" s="52"/>
      <c r="J45" s="52"/>
      <c r="K45" s="52"/>
      <c r="L45" s="52"/>
      <c r="M45" s="52"/>
      <c r="N45" s="52"/>
      <c r="O45" s="52"/>
    </row>
    <row r="46" spans="1:15" ht="16.5" customHeight="1" x14ac:dyDescent="0.35">
      <c r="J46" s="181"/>
      <c r="K46" s="181"/>
    </row>
    <row r="47" spans="1:15" ht="16.5" customHeight="1" x14ac:dyDescent="0.35">
      <c r="J47" s="181"/>
      <c r="K47" s="181"/>
    </row>
    <row r="48" spans="1:15" ht="16.5" customHeight="1" x14ac:dyDescent="0.35">
      <c r="J48" s="181"/>
      <c r="K48" s="181"/>
    </row>
    <row r="49" spans="4:21" ht="16.5" customHeight="1" x14ac:dyDescent="0.35">
      <c r="J49" s="181"/>
      <c r="K49" s="181"/>
    </row>
    <row r="50" spans="4:21" ht="16.5" customHeight="1" x14ac:dyDescent="0.35">
      <c r="J50" s="181"/>
      <c r="K50" s="181"/>
    </row>
    <row r="51" spans="4:21" ht="16.5" customHeight="1" x14ac:dyDescent="0.35">
      <c r="D51" s="129" t="s">
        <v>238</v>
      </c>
      <c r="J51" s="181"/>
      <c r="K51" s="181"/>
      <c r="T51" s="181"/>
      <c r="U51" s="181"/>
    </row>
    <row r="52" spans="4:21" ht="16.5" customHeight="1" x14ac:dyDescent="0.35">
      <c r="D52" s="129" t="s">
        <v>236</v>
      </c>
      <c r="J52" s="181"/>
      <c r="K52" s="181"/>
    </row>
    <row r="53" spans="4:21" ht="16.5" customHeight="1" x14ac:dyDescent="0.35">
      <c r="J53" s="181"/>
      <c r="K53" s="181"/>
    </row>
    <row r="54" spans="4:21" ht="16.5" customHeight="1" x14ac:dyDescent="0.35">
      <c r="H54" s="181"/>
      <c r="I54" s="181"/>
      <c r="J54" s="181"/>
      <c r="K54" s="181"/>
    </row>
    <row r="55" spans="4:21" ht="16.5" customHeight="1" x14ac:dyDescent="0.35">
      <c r="H55" s="181"/>
      <c r="I55" s="181"/>
      <c r="J55" s="181"/>
      <c r="K55" s="181"/>
    </row>
    <row r="56" spans="4:21" ht="16.5" customHeight="1" x14ac:dyDescent="0.35">
      <c r="H56" s="181"/>
      <c r="I56" s="181"/>
      <c r="J56" s="181"/>
      <c r="K56" s="181"/>
    </row>
    <row r="57" spans="4:21" ht="16.5" customHeight="1" x14ac:dyDescent="0.35">
      <c r="H57" s="181"/>
      <c r="I57" s="181"/>
      <c r="J57" s="181"/>
      <c r="K57" s="181"/>
    </row>
    <row r="58" spans="4:21" ht="16.5" customHeight="1" x14ac:dyDescent="0.35">
      <c r="H58" s="181"/>
      <c r="I58" s="181"/>
      <c r="J58" s="181"/>
      <c r="K58" s="181"/>
    </row>
    <row r="59" spans="4:21" ht="16.5" customHeight="1" x14ac:dyDescent="0.35">
      <c r="H59" s="181"/>
      <c r="I59" s="181"/>
      <c r="J59" s="181"/>
      <c r="K59" s="181"/>
    </row>
    <row r="60" spans="4:21" ht="16.5" customHeight="1" x14ac:dyDescent="0.35">
      <c r="H60" s="181"/>
      <c r="I60" s="181"/>
      <c r="J60" s="181"/>
      <c r="K60" s="181"/>
    </row>
    <row r="61" spans="4:21" ht="16.5" customHeight="1" x14ac:dyDescent="0.35">
      <c r="H61" s="181"/>
      <c r="I61" s="181"/>
      <c r="J61" s="181"/>
      <c r="K61" s="181"/>
    </row>
    <row r="62" spans="4:21" ht="16.5" customHeight="1" x14ac:dyDescent="0.35">
      <c r="H62" s="181"/>
      <c r="I62" s="181"/>
      <c r="J62" s="181"/>
      <c r="K62" s="181"/>
    </row>
    <row r="63" spans="4:21" ht="16.5" customHeight="1" x14ac:dyDescent="0.35">
      <c r="H63" s="181"/>
      <c r="I63" s="181"/>
      <c r="J63" s="181"/>
      <c r="K63" s="181"/>
    </row>
    <row r="64" spans="4:21" ht="16.5" customHeight="1" x14ac:dyDescent="0.35">
      <c r="H64" s="181"/>
      <c r="I64" s="181"/>
      <c r="J64" s="181"/>
      <c r="K64" s="181"/>
    </row>
    <row r="65" ht="16.5" customHeight="1" x14ac:dyDescent="0.35"/>
    <row r="66" ht="16.5" customHeight="1" x14ac:dyDescent="0.35"/>
    <row r="67" ht="16.5" customHeight="1" x14ac:dyDescent="0.35"/>
    <row r="68" ht="16.5" customHeight="1" x14ac:dyDescent="0.35"/>
    <row r="69" ht="16.5" customHeight="1" x14ac:dyDescent="0.35"/>
    <row r="70" ht="16.5" customHeight="1" x14ac:dyDescent="0.35"/>
    <row r="71" ht="16.5" customHeight="1" x14ac:dyDescent="0.35"/>
    <row r="72" ht="16.5" customHeight="1" x14ac:dyDescent="0.35"/>
    <row r="73" ht="16.5" customHeight="1" x14ac:dyDescent="0.35"/>
    <row r="74" ht="16.5" customHeight="1" x14ac:dyDescent="0.35"/>
    <row r="75" ht="16.5" customHeight="1" x14ac:dyDescent="0.35"/>
    <row r="76" ht="16.5" customHeight="1" x14ac:dyDescent="0.35"/>
    <row r="77" ht="16.5" customHeight="1" x14ac:dyDescent="0.35"/>
    <row r="78" ht="16.5" customHeight="1" x14ac:dyDescent="0.35"/>
    <row r="79" ht="16.5" customHeight="1" x14ac:dyDescent="0.35"/>
    <row r="80" ht="16.5" customHeight="1" x14ac:dyDescent="0.35"/>
    <row r="81" ht="16.5" customHeight="1" x14ac:dyDescent="0.35"/>
    <row r="82" ht="16.5" customHeight="1" x14ac:dyDescent="0.35"/>
    <row r="83" ht="16.5" customHeight="1" x14ac:dyDescent="0.35"/>
    <row r="84" ht="16.5" customHeight="1" x14ac:dyDescent="0.35"/>
    <row r="85" ht="16.5" customHeight="1" x14ac:dyDescent="0.35"/>
    <row r="86" ht="16.5" customHeight="1" x14ac:dyDescent="0.35"/>
    <row r="87" ht="16.5" customHeight="1" x14ac:dyDescent="0.35"/>
    <row r="88" ht="16.5" customHeight="1" x14ac:dyDescent="0.35"/>
    <row r="89" ht="16.5" customHeight="1" x14ac:dyDescent="0.35"/>
    <row r="90" ht="16.5" customHeight="1" x14ac:dyDescent="0.35"/>
    <row r="91" ht="16.5" customHeight="1" x14ac:dyDescent="0.35"/>
    <row r="92" ht="16.5" customHeight="1" x14ac:dyDescent="0.35"/>
    <row r="93" ht="16.5" customHeight="1" x14ac:dyDescent="0.35"/>
    <row r="94" ht="16.5" customHeight="1" x14ac:dyDescent="0.35"/>
    <row r="95" ht="16.5" customHeight="1" x14ac:dyDescent="0.35"/>
    <row r="96" ht="16.5" customHeight="1" x14ac:dyDescent="0.35"/>
    <row r="97" ht="16.5" customHeight="1" x14ac:dyDescent="0.35"/>
    <row r="98" ht="16.5" customHeight="1" x14ac:dyDescent="0.35"/>
    <row r="99" ht="16.5" customHeight="1" x14ac:dyDescent="0.35"/>
    <row r="100" ht="16.5" customHeight="1" x14ac:dyDescent="0.35"/>
    <row r="101" ht="16.5" customHeight="1" x14ac:dyDescent="0.35"/>
    <row r="102" ht="16.5" customHeight="1" x14ac:dyDescent="0.35"/>
    <row r="103" ht="16.5" customHeight="1" x14ac:dyDescent="0.35"/>
    <row r="104" ht="16.5" customHeight="1" x14ac:dyDescent="0.35"/>
    <row r="105" ht="16.5" customHeight="1" x14ac:dyDescent="0.35"/>
    <row r="106" ht="16.5" customHeight="1" x14ac:dyDescent="0.35"/>
    <row r="107" ht="16.5" customHeight="1" x14ac:dyDescent="0.35"/>
    <row r="108" ht="16.5" customHeight="1" x14ac:dyDescent="0.35"/>
    <row r="109" ht="16.5" customHeight="1" x14ac:dyDescent="0.35"/>
    <row r="110" ht="16.5" customHeight="1" x14ac:dyDescent="0.35"/>
    <row r="111" ht="16.5" customHeight="1" x14ac:dyDescent="0.35"/>
    <row r="112" ht="16.5" customHeight="1" x14ac:dyDescent="0.35"/>
    <row r="113" ht="16.5" customHeight="1" x14ac:dyDescent="0.35"/>
    <row r="114" ht="16.5" customHeight="1" x14ac:dyDescent="0.35"/>
    <row r="115" ht="16.5" customHeight="1" x14ac:dyDescent="0.35"/>
    <row r="116" ht="16.5" customHeight="1" x14ac:dyDescent="0.35"/>
    <row r="117" ht="16.5" customHeight="1" x14ac:dyDescent="0.35"/>
    <row r="118" ht="16.5" customHeight="1" x14ac:dyDescent="0.35"/>
    <row r="119" ht="16.5" customHeight="1" x14ac:dyDescent="0.35"/>
    <row r="120" ht="16.5" customHeight="1" x14ac:dyDescent="0.35"/>
    <row r="121" ht="16.5" customHeight="1" x14ac:dyDescent="0.35"/>
    <row r="122" ht="16.5" customHeight="1" x14ac:dyDescent="0.35"/>
    <row r="123" ht="16.5" customHeight="1" x14ac:dyDescent="0.35"/>
    <row r="124" ht="16.5" customHeight="1" x14ac:dyDescent="0.35"/>
    <row r="125" ht="16.5" customHeight="1" x14ac:dyDescent="0.35"/>
    <row r="126" ht="16.5" customHeight="1" x14ac:dyDescent="0.35"/>
    <row r="127" ht="16.5" customHeight="1" x14ac:dyDescent="0.35"/>
    <row r="128" ht="16.5" customHeight="1" x14ac:dyDescent="0.35"/>
    <row r="129" ht="16.5" customHeight="1" x14ac:dyDescent="0.35"/>
    <row r="130" ht="16.5" customHeight="1" x14ac:dyDescent="0.35"/>
    <row r="131" ht="16.5" customHeight="1" x14ac:dyDescent="0.35"/>
    <row r="132" ht="16.5" customHeight="1" x14ac:dyDescent="0.35"/>
    <row r="133" ht="16.5" customHeight="1" x14ac:dyDescent="0.35"/>
    <row r="134" ht="16.5" customHeight="1" x14ac:dyDescent="0.35"/>
    <row r="135" ht="16.5" customHeight="1" x14ac:dyDescent="0.35"/>
    <row r="136" ht="16.5" customHeight="1" x14ac:dyDescent="0.35"/>
    <row r="137" ht="16.5" customHeight="1" x14ac:dyDescent="0.35"/>
    <row r="138" ht="16.5" customHeight="1" x14ac:dyDescent="0.35"/>
    <row r="139" ht="16.5" customHeight="1" x14ac:dyDescent="0.35"/>
    <row r="140" ht="16.5" customHeight="1" x14ac:dyDescent="0.35"/>
    <row r="141" ht="16.5" customHeight="1" x14ac:dyDescent="0.35"/>
    <row r="142" ht="16.5" customHeight="1" x14ac:dyDescent="0.35"/>
    <row r="143" ht="16.5" customHeight="1" x14ac:dyDescent="0.35"/>
    <row r="144" ht="16.5" customHeight="1" x14ac:dyDescent="0.35"/>
    <row r="145" ht="16.5" customHeight="1" x14ac:dyDescent="0.35"/>
    <row r="146" ht="16.5" customHeight="1" x14ac:dyDescent="0.35"/>
    <row r="147" ht="16.5" customHeight="1" x14ac:dyDescent="0.35"/>
    <row r="148" ht="16.5" customHeight="1" x14ac:dyDescent="0.35"/>
    <row r="149" ht="16.5" customHeight="1" x14ac:dyDescent="0.35"/>
    <row r="150" ht="16.5" customHeight="1" x14ac:dyDescent="0.35"/>
    <row r="151" ht="16.5" customHeight="1" x14ac:dyDescent="0.35"/>
    <row r="152" ht="16.5" customHeight="1" x14ac:dyDescent="0.35"/>
    <row r="153" ht="16.5" customHeight="1" x14ac:dyDescent="0.35"/>
    <row r="154" ht="16.5" customHeight="1" x14ac:dyDescent="0.35"/>
    <row r="155" ht="16.5" customHeight="1" x14ac:dyDescent="0.35"/>
    <row r="156" ht="16.5" customHeight="1" x14ac:dyDescent="0.35"/>
    <row r="157" ht="16.5" customHeight="1" x14ac:dyDescent="0.35"/>
    <row r="158" ht="16.5" customHeight="1" x14ac:dyDescent="0.35"/>
    <row r="159" ht="16.5" customHeight="1" x14ac:dyDescent="0.35"/>
    <row r="160" ht="16.5" customHeight="1" x14ac:dyDescent="0.35"/>
    <row r="161" ht="16.5" customHeight="1" x14ac:dyDescent="0.35"/>
    <row r="162" ht="16.5" customHeight="1" x14ac:dyDescent="0.35"/>
    <row r="163" ht="16.5" customHeight="1" x14ac:dyDescent="0.35"/>
    <row r="164" ht="16.5" customHeight="1" x14ac:dyDescent="0.35"/>
    <row r="165" ht="16.5" customHeight="1" x14ac:dyDescent="0.35"/>
    <row r="166" ht="16.5" customHeight="1" x14ac:dyDescent="0.35"/>
    <row r="167" ht="16.5" customHeight="1" x14ac:dyDescent="0.35"/>
    <row r="168" ht="16.5" customHeight="1" x14ac:dyDescent="0.35"/>
    <row r="169" ht="16.5" customHeight="1" x14ac:dyDescent="0.35"/>
    <row r="170" ht="16.5" customHeight="1" x14ac:dyDescent="0.35"/>
    <row r="171" ht="16.5" customHeight="1" x14ac:dyDescent="0.35"/>
    <row r="172" ht="16.5" customHeight="1" x14ac:dyDescent="0.35"/>
    <row r="173" ht="16.5" customHeight="1" x14ac:dyDescent="0.35"/>
    <row r="174" ht="16.5" customHeight="1" x14ac:dyDescent="0.35"/>
    <row r="175" ht="16.5" customHeight="1" x14ac:dyDescent="0.35"/>
    <row r="176" ht="16.5" customHeight="1" x14ac:dyDescent="0.35"/>
    <row r="177" ht="16.5" customHeight="1" x14ac:dyDescent="0.35"/>
    <row r="178" ht="16.5" customHeight="1" x14ac:dyDescent="0.35"/>
    <row r="179" ht="16.5" customHeight="1" x14ac:dyDescent="0.35"/>
    <row r="180" ht="16.5" customHeight="1" x14ac:dyDescent="0.35"/>
    <row r="181" ht="16.5" customHeight="1" x14ac:dyDescent="0.35"/>
    <row r="182" ht="16.5" customHeight="1" x14ac:dyDescent="0.35"/>
    <row r="183" ht="16.5" customHeight="1" x14ac:dyDescent="0.35"/>
    <row r="184" ht="16.5" customHeight="1" x14ac:dyDescent="0.35"/>
    <row r="185" ht="16.5" customHeight="1" x14ac:dyDescent="0.35"/>
    <row r="186" ht="16.5" customHeight="1" x14ac:dyDescent="0.35"/>
    <row r="187" ht="16.5" customHeight="1" x14ac:dyDescent="0.35"/>
    <row r="188" ht="16.5" customHeight="1" x14ac:dyDescent="0.35"/>
    <row r="189" ht="16.5" customHeight="1" x14ac:dyDescent="0.35"/>
    <row r="190" ht="16.5" customHeight="1" x14ac:dyDescent="0.35"/>
    <row r="191" ht="16.5" customHeight="1" x14ac:dyDescent="0.35"/>
    <row r="192" ht="16.5" customHeight="1" x14ac:dyDescent="0.35"/>
    <row r="193" ht="16.5" customHeight="1" x14ac:dyDescent="0.35"/>
    <row r="194" ht="16.5" customHeight="1" x14ac:dyDescent="0.35"/>
    <row r="195" ht="16.5" customHeight="1" x14ac:dyDescent="0.35"/>
    <row r="196" ht="16.5" customHeight="1" x14ac:dyDescent="0.35"/>
    <row r="197" ht="16.5" customHeight="1" x14ac:dyDescent="0.35"/>
    <row r="198" ht="16.5" customHeight="1" x14ac:dyDescent="0.35"/>
    <row r="199" ht="16.5" customHeight="1" x14ac:dyDescent="0.35"/>
    <row r="200" ht="16.5" customHeight="1" x14ac:dyDescent="0.35"/>
    <row r="201" ht="16.5" customHeight="1" x14ac:dyDescent="0.35"/>
    <row r="202" ht="16.5" customHeight="1" x14ac:dyDescent="0.35"/>
    <row r="203" ht="16.5" customHeight="1" x14ac:dyDescent="0.35"/>
    <row r="204" ht="16.5" customHeight="1" x14ac:dyDescent="0.35"/>
    <row r="205" ht="16.5" customHeight="1" x14ac:dyDescent="0.35"/>
    <row r="206" ht="16.5" customHeight="1" x14ac:dyDescent="0.35"/>
    <row r="207" ht="16.5" customHeight="1" x14ac:dyDescent="0.35"/>
    <row r="208" ht="16.5" customHeight="1" x14ac:dyDescent="0.35"/>
    <row r="209" ht="16.5" customHeight="1" x14ac:dyDescent="0.35"/>
    <row r="210" ht="16.5" customHeight="1" x14ac:dyDescent="0.35"/>
    <row r="211" ht="16.5" customHeight="1" x14ac:dyDescent="0.35"/>
    <row r="212" ht="16.5" customHeight="1" x14ac:dyDescent="0.35"/>
    <row r="213" ht="16.5" customHeight="1" x14ac:dyDescent="0.35"/>
    <row r="214" ht="16.5" customHeight="1" x14ac:dyDescent="0.35"/>
    <row r="215" ht="16.5" customHeight="1" x14ac:dyDescent="0.35"/>
    <row r="216" ht="16.5" customHeight="1" x14ac:dyDescent="0.35"/>
    <row r="217" ht="16.5" customHeight="1" x14ac:dyDescent="0.35"/>
    <row r="218" ht="16.5" customHeight="1" x14ac:dyDescent="0.35"/>
    <row r="219" ht="16.5" customHeight="1" x14ac:dyDescent="0.35"/>
    <row r="220" ht="16.5" customHeight="1" x14ac:dyDescent="0.35"/>
    <row r="221" ht="16.5" customHeight="1" x14ac:dyDescent="0.35"/>
    <row r="222" ht="16.5" customHeight="1" x14ac:dyDescent="0.35"/>
    <row r="223" ht="16.5" customHeight="1" x14ac:dyDescent="0.35"/>
    <row r="224" ht="16.5" customHeight="1" x14ac:dyDescent="0.35"/>
    <row r="225" ht="16.5" customHeight="1" x14ac:dyDescent="0.35"/>
    <row r="226" ht="16.5" customHeight="1" x14ac:dyDescent="0.35"/>
    <row r="227" ht="16.5" customHeight="1" x14ac:dyDescent="0.35"/>
    <row r="228" ht="16.5" customHeight="1" x14ac:dyDescent="0.35"/>
    <row r="229" ht="16.5" customHeight="1" x14ac:dyDescent="0.35"/>
    <row r="230" ht="16.5" customHeight="1" x14ac:dyDescent="0.35"/>
    <row r="231" ht="16.5" customHeight="1" x14ac:dyDescent="0.35"/>
    <row r="232" ht="16.5" customHeight="1" x14ac:dyDescent="0.35"/>
    <row r="233" ht="16.5" customHeight="1" x14ac:dyDescent="0.35"/>
    <row r="234" ht="16.5" customHeight="1" x14ac:dyDescent="0.35"/>
    <row r="235" ht="16.5" customHeight="1" x14ac:dyDescent="0.35"/>
    <row r="236" ht="16.5" customHeight="1" x14ac:dyDescent="0.35"/>
    <row r="237" ht="16.5" customHeight="1" x14ac:dyDescent="0.35"/>
    <row r="238" ht="16.5" customHeight="1" x14ac:dyDescent="0.35"/>
    <row r="239" ht="16.5" customHeight="1" x14ac:dyDescent="0.35"/>
    <row r="240" ht="16.5" customHeight="1" x14ac:dyDescent="0.35"/>
    <row r="241" ht="16.5" customHeight="1" x14ac:dyDescent="0.35"/>
    <row r="242" ht="16.5" customHeight="1" x14ac:dyDescent="0.35"/>
    <row r="243" ht="16.5" customHeight="1" x14ac:dyDescent="0.35"/>
    <row r="244" ht="16.5" customHeight="1" x14ac:dyDescent="0.35"/>
    <row r="245" ht="16.5" customHeight="1" x14ac:dyDescent="0.35"/>
    <row r="246" ht="16.5" customHeight="1" x14ac:dyDescent="0.35"/>
    <row r="247" ht="16.5" customHeight="1" x14ac:dyDescent="0.35"/>
    <row r="248" ht="16.5" customHeight="1" x14ac:dyDescent="0.35"/>
    <row r="249" ht="16.5" customHeight="1" x14ac:dyDescent="0.35"/>
    <row r="250" ht="16.5" customHeight="1" x14ac:dyDescent="0.35"/>
    <row r="251" ht="16.5" customHeight="1" x14ac:dyDescent="0.35"/>
    <row r="252" ht="16.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3">
    <mergeCell ref="B28:E28"/>
    <mergeCell ref="F28:K28"/>
    <mergeCell ref="L28:N28"/>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28</vt:i4>
      </vt:variant>
    </vt:vector>
  </HeadingPairs>
  <TitlesOfParts>
    <vt:vector size="36" baseType="lpstr">
      <vt:lpstr>Project Template</vt:lpstr>
      <vt:lpstr>Instructions</vt:lpstr>
      <vt:lpstr>Opportunity - Rating Desc.</vt:lpstr>
      <vt:lpstr>Threat - Rating Desc.</vt:lpstr>
      <vt:lpstr>Severity matrix</vt:lpstr>
      <vt:lpstr>Sample Risk Checklist</vt:lpstr>
      <vt:lpstr>Risk Allocation</vt:lpstr>
      <vt:lpstr>Lists</vt:lpstr>
      <vt:lpstr>Construction</vt:lpstr>
      <vt:lpstr>Design</vt:lpstr>
      <vt:lpstr>Design_construction</vt:lpstr>
      <vt:lpstr>Environmental</vt:lpstr>
      <vt:lpstr>External</vt:lpstr>
      <vt:lpstr>Maint_Ops</vt:lpstr>
      <vt:lpstr>Operations_Maintenance</vt:lpstr>
      <vt:lpstr>Organizational</vt:lpstr>
      <vt:lpstr>Planning_Preliminary_Eng</vt:lpstr>
      <vt:lpstr>PM</vt:lpstr>
      <vt:lpstr>program_procurement</vt:lpstr>
      <vt:lpstr>Proj_Phase_List</vt:lpstr>
      <vt:lpstr>Proj_Phases</vt:lpstr>
      <vt:lpstr>Railroad</vt:lpstr>
      <vt:lpstr>ROW</vt:lpstr>
      <vt:lpstr>Utilities</vt:lpstr>
      <vt:lpstr>Lists!Z_426594F0_BD78_494B_83F5_6715BCF3F934_.wvu.Cols</vt:lpstr>
      <vt:lpstr>'Opportunity - Rating Desc.'!Z_426594F0_BD78_494B_83F5_6715BCF3F934_.wvu.PrintArea</vt:lpstr>
      <vt:lpstr>'Sample Risk Checklist'!Z_426594F0_BD78_494B_83F5_6715BCF3F934_.wvu.PrintArea</vt:lpstr>
      <vt:lpstr>'Severity matrix'!Z_426594F0_BD78_494B_83F5_6715BCF3F934_.wvu.PrintArea</vt:lpstr>
      <vt:lpstr>'Threat - Rating Desc.'!Z_426594F0_BD78_494B_83F5_6715BCF3F934_.wvu.PrintArea</vt:lpstr>
      <vt:lpstr>'Sample Risk Checklist'!Z_426594F0_BD78_494B_83F5_6715BCF3F934_.wvu.PrintTitles</vt:lpstr>
      <vt:lpstr>Lists!Z_AAE5F1F5_23DF_4A1C_A14D_1A683FBAD0A0_.wvu.Cols</vt:lpstr>
      <vt:lpstr>'Opportunity - Rating Desc.'!Z_AAE5F1F5_23DF_4A1C_A14D_1A683FBAD0A0_.wvu.PrintArea</vt:lpstr>
      <vt:lpstr>'Sample Risk Checklist'!Z_AAE5F1F5_23DF_4A1C_A14D_1A683FBAD0A0_.wvu.PrintArea</vt:lpstr>
      <vt:lpstr>'Severity matrix'!Z_AAE5F1F5_23DF_4A1C_A14D_1A683FBAD0A0_.wvu.PrintArea</vt:lpstr>
      <vt:lpstr>'Threat - Rating Desc.'!Z_AAE5F1F5_23DF_4A1C_A14D_1A683FBAD0A0_.wvu.PrintArea</vt:lpstr>
      <vt:lpstr>'Sample Risk Checklist'!Z_AAE5F1F5_23DF_4A1C_A14D_1A683FBAD0A0_.wvu.PrintTitles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HELLY</dc:creator>
  <cp:lastModifiedBy>Heli Vijaybhai Kanpariya</cp:lastModifiedBy>
  <dcterms:created xsi:type="dcterms:W3CDTF">2026-06-11T12:57:27Z</dcterms:created>
  <dcterms:modified xsi:type="dcterms:W3CDTF">2026-06-11T12:57:27Z</dcterms:modified>
</cp:coreProperties>
</file>